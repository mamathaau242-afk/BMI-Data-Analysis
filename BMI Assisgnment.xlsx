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31605e2d8748ee/Desktop/"/>
    </mc:Choice>
  </mc:AlternateContent>
  <xr:revisionPtr revIDLastSave="1225" documentId="8_{66F88EB7-D09F-48E1-97B0-8F3B97430BE3}" xr6:coauthVersionLast="47" xr6:coauthVersionMax="47" xr10:uidLastSave="{11D81859-80CD-45D3-BA15-C3B01B5C39B8}"/>
  <bookViews>
    <workbookView xWindow="-108" yWindow="-108" windowWidth="23256" windowHeight="13896" xr2:uid="{B4E3684E-C926-4C38-993C-37EAC28CEEEB}"/>
  </bookViews>
  <sheets>
    <sheet name="Table001 (Page 1-2)" sheetId="2" r:id="rId1"/>
    <sheet name="Sheet1" sheetId="1" r:id="rId2"/>
  </sheets>
  <definedNames>
    <definedName name="_xlcn.WorksheetConnection_Table001Page12A1K108" hidden="1">'Table001 (Page 1-2)'!$A$1:$K$108</definedName>
    <definedName name="_xlcn.WorksheetConnection_Table001Page12A1L108" hidden="1">'Table001 (Page 1-2)'!$A$1:$L$108</definedName>
  </definedName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1" name="Range 1" connection="WorksheetConnection_Table001 (Page 1-2)!$A$1:$L$108"/>
          <x15:modelTable id="Range" name="Range" connection="WorksheetConnection_Table001 (Page 1-2)!$A$1:$K$10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B138" i="2"/>
  <c r="E145" i="2"/>
  <c r="B148" i="2"/>
  <c r="B147" i="2"/>
  <c r="B142" i="2"/>
  <c r="B141" i="2"/>
  <c r="B139" i="2"/>
  <c r="B145" i="2"/>
  <c r="B144" i="2"/>
  <c r="E131" i="2"/>
  <c r="E133" i="2"/>
  <c r="E130" i="2"/>
  <c r="E132" i="2"/>
  <c r="B131" i="2"/>
  <c r="B133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2" i="2"/>
  <c r="B126" i="2"/>
  <c r="B125" i="2"/>
  <c r="B124" i="2"/>
  <c r="B120" i="2"/>
  <c r="J2" i="2"/>
  <c r="I108" i="2"/>
  <c r="J108" i="2" s="1"/>
  <c r="K108" i="2" s="1"/>
  <c r="I107" i="2"/>
  <c r="J107" i="2" s="1"/>
  <c r="K107" i="2" s="1"/>
  <c r="I106" i="2"/>
  <c r="J106" i="2" s="1"/>
  <c r="K106" i="2" s="1"/>
  <c r="I105" i="2"/>
  <c r="J105" i="2" s="1"/>
  <c r="K105" i="2" s="1"/>
  <c r="I104" i="2"/>
  <c r="J104" i="2" s="1"/>
  <c r="K104" i="2" s="1"/>
  <c r="I103" i="2"/>
  <c r="J103" i="2" s="1"/>
  <c r="K103" i="2" s="1"/>
  <c r="I102" i="2"/>
  <c r="J102" i="2" s="1"/>
  <c r="K102" i="2" s="1"/>
  <c r="I101" i="2"/>
  <c r="J101" i="2" s="1"/>
  <c r="K101" i="2" s="1"/>
  <c r="I100" i="2"/>
  <c r="J100" i="2" s="1"/>
  <c r="K100" i="2" s="1"/>
  <c r="I99" i="2"/>
  <c r="J99" i="2" s="1"/>
  <c r="K99" i="2" s="1"/>
  <c r="I98" i="2"/>
  <c r="J98" i="2" s="1"/>
  <c r="K98" i="2" s="1"/>
  <c r="I97" i="2"/>
  <c r="J97" i="2" s="1"/>
  <c r="K97" i="2" s="1"/>
  <c r="I96" i="2"/>
  <c r="J96" i="2" s="1"/>
  <c r="K96" i="2" s="1"/>
  <c r="I95" i="2"/>
  <c r="J95" i="2" s="1"/>
  <c r="K95" i="2" s="1"/>
  <c r="I94" i="2"/>
  <c r="J94" i="2" s="1"/>
  <c r="K94" i="2" s="1"/>
  <c r="I93" i="2"/>
  <c r="J93" i="2" s="1"/>
  <c r="K93" i="2" s="1"/>
  <c r="I92" i="2"/>
  <c r="J92" i="2" s="1"/>
  <c r="K92" i="2" s="1"/>
  <c r="I91" i="2"/>
  <c r="J91" i="2" s="1"/>
  <c r="K91" i="2" s="1"/>
  <c r="I90" i="2"/>
  <c r="J90" i="2" s="1"/>
  <c r="K90" i="2" s="1"/>
  <c r="I89" i="2"/>
  <c r="J89" i="2" s="1"/>
  <c r="K89" i="2" s="1"/>
  <c r="I88" i="2"/>
  <c r="J88" i="2" s="1"/>
  <c r="K88" i="2" s="1"/>
  <c r="I87" i="2"/>
  <c r="J87" i="2" s="1"/>
  <c r="K87" i="2" s="1"/>
  <c r="I86" i="2"/>
  <c r="J86" i="2" s="1"/>
  <c r="K86" i="2" s="1"/>
  <c r="I85" i="2"/>
  <c r="J85" i="2" s="1"/>
  <c r="K85" i="2" s="1"/>
  <c r="I84" i="2"/>
  <c r="J84" i="2" s="1"/>
  <c r="K84" i="2" s="1"/>
  <c r="I83" i="2"/>
  <c r="J83" i="2" s="1"/>
  <c r="K83" i="2" s="1"/>
  <c r="I82" i="2"/>
  <c r="J82" i="2" s="1"/>
  <c r="K82" i="2" s="1"/>
  <c r="I81" i="2"/>
  <c r="J81" i="2" s="1"/>
  <c r="K81" i="2" s="1"/>
  <c r="I80" i="2"/>
  <c r="J80" i="2" s="1"/>
  <c r="K80" i="2" s="1"/>
  <c r="I79" i="2"/>
  <c r="J79" i="2" s="1"/>
  <c r="K79" i="2" s="1"/>
  <c r="I78" i="2"/>
  <c r="J78" i="2" s="1"/>
  <c r="K78" i="2" s="1"/>
  <c r="I77" i="2"/>
  <c r="J77" i="2" s="1"/>
  <c r="K77" i="2" s="1"/>
  <c r="I76" i="2"/>
  <c r="J76" i="2" s="1"/>
  <c r="K76" i="2" s="1"/>
  <c r="I75" i="2"/>
  <c r="J75" i="2" s="1"/>
  <c r="K75" i="2" s="1"/>
  <c r="I74" i="2"/>
  <c r="J74" i="2" s="1"/>
  <c r="K74" i="2" s="1"/>
  <c r="I73" i="2"/>
  <c r="J73" i="2" s="1"/>
  <c r="K73" i="2" s="1"/>
  <c r="I72" i="2"/>
  <c r="J72" i="2" s="1"/>
  <c r="K72" i="2" s="1"/>
  <c r="I71" i="2"/>
  <c r="J71" i="2" s="1"/>
  <c r="K71" i="2" s="1"/>
  <c r="I70" i="2"/>
  <c r="J70" i="2" s="1"/>
  <c r="K70" i="2" s="1"/>
  <c r="I69" i="2"/>
  <c r="J69" i="2" s="1"/>
  <c r="K69" i="2" s="1"/>
  <c r="I68" i="2"/>
  <c r="J68" i="2" s="1"/>
  <c r="K68" i="2" s="1"/>
  <c r="I67" i="2"/>
  <c r="J67" i="2" s="1"/>
  <c r="K67" i="2" s="1"/>
  <c r="I66" i="2"/>
  <c r="J66" i="2" s="1"/>
  <c r="K66" i="2" s="1"/>
  <c r="I65" i="2"/>
  <c r="J65" i="2" s="1"/>
  <c r="K65" i="2" s="1"/>
  <c r="I64" i="2"/>
  <c r="J64" i="2" s="1"/>
  <c r="K64" i="2" s="1"/>
  <c r="I63" i="2"/>
  <c r="J63" i="2" s="1"/>
  <c r="K63" i="2" s="1"/>
  <c r="I62" i="2"/>
  <c r="J62" i="2" s="1"/>
  <c r="K62" i="2" s="1"/>
  <c r="I61" i="2"/>
  <c r="J61" i="2" s="1"/>
  <c r="K61" i="2" s="1"/>
  <c r="I60" i="2"/>
  <c r="J60" i="2" s="1"/>
  <c r="K60" i="2" s="1"/>
  <c r="I59" i="2"/>
  <c r="J59" i="2" s="1"/>
  <c r="K59" i="2" s="1"/>
  <c r="I58" i="2"/>
  <c r="J58" i="2" s="1"/>
  <c r="K58" i="2" s="1"/>
  <c r="I57" i="2"/>
  <c r="J57" i="2" s="1"/>
  <c r="K57" i="2" s="1"/>
  <c r="I56" i="2"/>
  <c r="J56" i="2" s="1"/>
  <c r="K56" i="2" s="1"/>
  <c r="I55" i="2"/>
  <c r="J55" i="2" s="1"/>
  <c r="K55" i="2" s="1"/>
  <c r="I54" i="2"/>
  <c r="J54" i="2" s="1"/>
  <c r="K54" i="2" s="1"/>
  <c r="I53" i="2"/>
  <c r="J53" i="2" s="1"/>
  <c r="K53" i="2" s="1"/>
  <c r="I52" i="2"/>
  <c r="J52" i="2" s="1"/>
  <c r="K52" i="2" s="1"/>
  <c r="I51" i="2"/>
  <c r="J51" i="2" s="1"/>
  <c r="K51" i="2" s="1"/>
  <c r="I50" i="2"/>
  <c r="J50" i="2" s="1"/>
  <c r="K50" i="2" s="1"/>
  <c r="I49" i="2"/>
  <c r="J49" i="2" s="1"/>
  <c r="K49" i="2" s="1"/>
  <c r="I48" i="2"/>
  <c r="J48" i="2" s="1"/>
  <c r="K48" i="2" s="1"/>
  <c r="I47" i="2"/>
  <c r="J47" i="2" s="1"/>
  <c r="K47" i="2" s="1"/>
  <c r="I46" i="2"/>
  <c r="J46" i="2" s="1"/>
  <c r="K46" i="2" s="1"/>
  <c r="I45" i="2"/>
  <c r="J45" i="2" s="1"/>
  <c r="K45" i="2" s="1"/>
  <c r="I44" i="2"/>
  <c r="J44" i="2" s="1"/>
  <c r="K44" i="2" s="1"/>
  <c r="I43" i="2"/>
  <c r="J43" i="2" s="1"/>
  <c r="K43" i="2" s="1"/>
  <c r="I42" i="2"/>
  <c r="J42" i="2" s="1"/>
  <c r="K42" i="2" s="1"/>
  <c r="I41" i="2"/>
  <c r="J41" i="2" s="1"/>
  <c r="K41" i="2" s="1"/>
  <c r="I40" i="2"/>
  <c r="J40" i="2" s="1"/>
  <c r="K40" i="2" s="1"/>
  <c r="I39" i="2"/>
  <c r="J39" i="2" s="1"/>
  <c r="K39" i="2" s="1"/>
  <c r="I38" i="2"/>
  <c r="J38" i="2" s="1"/>
  <c r="K38" i="2" s="1"/>
  <c r="I37" i="2"/>
  <c r="J37" i="2" s="1"/>
  <c r="K37" i="2" s="1"/>
  <c r="I36" i="2"/>
  <c r="J36" i="2" s="1"/>
  <c r="K36" i="2" s="1"/>
  <c r="I35" i="2"/>
  <c r="J35" i="2" s="1"/>
  <c r="K35" i="2" s="1"/>
  <c r="I34" i="2"/>
  <c r="J34" i="2" s="1"/>
  <c r="K34" i="2" s="1"/>
  <c r="I33" i="2"/>
  <c r="J33" i="2" s="1"/>
  <c r="K33" i="2" s="1"/>
  <c r="I32" i="2"/>
  <c r="J32" i="2" s="1"/>
  <c r="K32" i="2" s="1"/>
  <c r="I31" i="2"/>
  <c r="J31" i="2" s="1"/>
  <c r="K31" i="2" s="1"/>
  <c r="I30" i="2"/>
  <c r="J30" i="2" s="1"/>
  <c r="K30" i="2" s="1"/>
  <c r="I29" i="2"/>
  <c r="J29" i="2" s="1"/>
  <c r="K29" i="2" s="1"/>
  <c r="I28" i="2"/>
  <c r="J28" i="2" s="1"/>
  <c r="K28" i="2" s="1"/>
  <c r="I27" i="2"/>
  <c r="J27" i="2" s="1"/>
  <c r="K27" i="2" s="1"/>
  <c r="I26" i="2"/>
  <c r="J26" i="2" s="1"/>
  <c r="K26" i="2" s="1"/>
  <c r="I25" i="2"/>
  <c r="J25" i="2" s="1"/>
  <c r="K25" i="2" s="1"/>
  <c r="I24" i="2"/>
  <c r="J24" i="2" s="1"/>
  <c r="K24" i="2" s="1"/>
  <c r="I23" i="2"/>
  <c r="J23" i="2" s="1"/>
  <c r="K23" i="2" s="1"/>
  <c r="I22" i="2"/>
  <c r="J22" i="2" s="1"/>
  <c r="K22" i="2" s="1"/>
  <c r="I21" i="2"/>
  <c r="J21" i="2" s="1"/>
  <c r="K21" i="2" s="1"/>
  <c r="I20" i="2"/>
  <c r="J20" i="2" s="1"/>
  <c r="K20" i="2" s="1"/>
  <c r="I19" i="2"/>
  <c r="J19" i="2" s="1"/>
  <c r="K19" i="2" s="1"/>
  <c r="I18" i="2"/>
  <c r="J18" i="2" s="1"/>
  <c r="K18" i="2" s="1"/>
  <c r="I17" i="2"/>
  <c r="J17" i="2" s="1"/>
  <c r="K17" i="2" s="1"/>
  <c r="I16" i="2"/>
  <c r="J16" i="2" s="1"/>
  <c r="K16" i="2" s="1"/>
  <c r="I15" i="2"/>
  <c r="J15" i="2" s="1"/>
  <c r="K15" i="2" s="1"/>
  <c r="I14" i="2"/>
  <c r="J14" i="2" s="1"/>
  <c r="K14" i="2" s="1"/>
  <c r="I13" i="2"/>
  <c r="J13" i="2" s="1"/>
  <c r="K13" i="2" s="1"/>
  <c r="I12" i="2"/>
  <c r="J12" i="2" s="1"/>
  <c r="K12" i="2" s="1"/>
  <c r="I11" i="2"/>
  <c r="J11" i="2" s="1"/>
  <c r="K11" i="2" s="1"/>
  <c r="I10" i="2"/>
  <c r="J10" i="2" s="1"/>
  <c r="K10" i="2" s="1"/>
  <c r="I9" i="2"/>
  <c r="J9" i="2" s="1"/>
  <c r="K9" i="2" s="1"/>
  <c r="I8" i="2"/>
  <c r="J8" i="2" s="1"/>
  <c r="K8" i="2" s="1"/>
  <c r="I7" i="2"/>
  <c r="J7" i="2" s="1"/>
  <c r="K7" i="2" s="1"/>
  <c r="I6" i="2"/>
  <c r="J6" i="2" s="1"/>
  <c r="K6" i="2" s="1"/>
  <c r="I5" i="2"/>
  <c r="J5" i="2" s="1"/>
  <c r="K5" i="2" s="1"/>
  <c r="I4" i="2"/>
  <c r="J4" i="2" s="1"/>
  <c r="K4" i="2" s="1"/>
  <c r="I3" i="2"/>
  <c r="J3" i="2" s="1"/>
  <c r="I2" i="2"/>
  <c r="K2" i="2" s="1"/>
  <c r="J108" i="1"/>
  <c r="I108" i="1"/>
  <c r="I107" i="1"/>
  <c r="J107" i="1" s="1"/>
  <c r="I106" i="1"/>
  <c r="J106" i="1" s="1"/>
  <c r="J105" i="1"/>
  <c r="I105" i="1"/>
  <c r="I104" i="1"/>
  <c r="J104" i="1" s="1"/>
  <c r="I103" i="1"/>
  <c r="J103" i="1" s="1"/>
  <c r="I102" i="1"/>
  <c r="J102" i="1" s="1"/>
  <c r="J101" i="1"/>
  <c r="I101" i="1"/>
  <c r="J100" i="1"/>
  <c r="I100" i="1"/>
  <c r="J99" i="1"/>
  <c r="I99" i="1"/>
  <c r="I98" i="1"/>
  <c r="J98" i="1" s="1"/>
  <c r="I97" i="1"/>
  <c r="J97" i="1" s="1"/>
  <c r="J96" i="1"/>
  <c r="I96" i="1"/>
  <c r="I95" i="1"/>
  <c r="J95" i="1" s="1"/>
  <c r="I94" i="1"/>
  <c r="J94" i="1" s="1"/>
  <c r="I93" i="1"/>
  <c r="J93" i="1" s="1"/>
  <c r="J92" i="1"/>
  <c r="I92" i="1"/>
  <c r="J91" i="1"/>
  <c r="I91" i="1"/>
  <c r="J90" i="1"/>
  <c r="I90" i="1"/>
  <c r="I89" i="1"/>
  <c r="J89" i="1" s="1"/>
  <c r="I88" i="1"/>
  <c r="J88" i="1" s="1"/>
  <c r="J87" i="1"/>
  <c r="I87" i="1"/>
  <c r="I86" i="1"/>
  <c r="J86" i="1" s="1"/>
  <c r="I85" i="1"/>
  <c r="J85" i="1" s="1"/>
  <c r="I84" i="1"/>
  <c r="J84" i="1" s="1"/>
  <c r="J83" i="1"/>
  <c r="I83" i="1"/>
  <c r="J82" i="1"/>
  <c r="I82" i="1"/>
  <c r="J81" i="1"/>
  <c r="I81" i="1"/>
  <c r="I80" i="1"/>
  <c r="J80" i="1" s="1"/>
  <c r="I79" i="1"/>
  <c r="J79" i="1" s="1"/>
  <c r="J78" i="1"/>
  <c r="I78" i="1"/>
  <c r="I77" i="1"/>
  <c r="J77" i="1" s="1"/>
  <c r="I76" i="1"/>
  <c r="J76" i="1" s="1"/>
  <c r="I75" i="1"/>
  <c r="J75" i="1" s="1"/>
  <c r="J74" i="1"/>
  <c r="I74" i="1"/>
  <c r="J73" i="1"/>
  <c r="I73" i="1"/>
  <c r="J72" i="1"/>
  <c r="I72" i="1"/>
  <c r="I71" i="1"/>
  <c r="J71" i="1" s="1"/>
  <c r="I70" i="1"/>
  <c r="J70" i="1" s="1"/>
  <c r="J69" i="1"/>
  <c r="I69" i="1"/>
  <c r="I68" i="1"/>
  <c r="J68" i="1" s="1"/>
  <c r="I67" i="1"/>
  <c r="J67" i="1" s="1"/>
  <c r="I66" i="1"/>
  <c r="J66" i="1" s="1"/>
  <c r="J65" i="1"/>
  <c r="I65" i="1"/>
  <c r="J64" i="1"/>
  <c r="I64" i="1"/>
  <c r="J63" i="1"/>
  <c r="I63" i="1"/>
  <c r="I62" i="1"/>
  <c r="J62" i="1" s="1"/>
  <c r="I61" i="1"/>
  <c r="J61" i="1" s="1"/>
  <c r="J60" i="1"/>
  <c r="I60" i="1"/>
  <c r="I59" i="1"/>
  <c r="J59" i="1" s="1"/>
  <c r="I58" i="1"/>
  <c r="J58" i="1" s="1"/>
  <c r="I57" i="1"/>
  <c r="J57" i="1" s="1"/>
  <c r="J56" i="1"/>
  <c r="I56" i="1"/>
  <c r="J55" i="1"/>
  <c r="I55" i="1"/>
  <c r="J54" i="1"/>
  <c r="I54" i="1"/>
  <c r="I53" i="1"/>
  <c r="J53" i="1" s="1"/>
  <c r="I52" i="1"/>
  <c r="J52" i="1" s="1"/>
  <c r="J51" i="1"/>
  <c r="I51" i="1"/>
  <c r="I50" i="1"/>
  <c r="J50" i="1" s="1"/>
  <c r="I49" i="1"/>
  <c r="J49" i="1" s="1"/>
  <c r="I48" i="1"/>
  <c r="J48" i="1" s="1"/>
  <c r="J47" i="1"/>
  <c r="I47" i="1"/>
  <c r="J46" i="1"/>
  <c r="I46" i="1"/>
  <c r="J45" i="1"/>
  <c r="I45" i="1"/>
  <c r="I44" i="1"/>
  <c r="J44" i="1" s="1"/>
  <c r="I43" i="1"/>
  <c r="J43" i="1" s="1"/>
  <c r="J42" i="1"/>
  <c r="I42" i="1"/>
  <c r="I41" i="1"/>
  <c r="J41" i="1" s="1"/>
  <c r="I40" i="1"/>
  <c r="J40" i="1" s="1"/>
  <c r="I39" i="1"/>
  <c r="J39" i="1" s="1"/>
  <c r="J38" i="1"/>
  <c r="I38" i="1"/>
  <c r="J37" i="1"/>
  <c r="I37" i="1"/>
  <c r="J36" i="1"/>
  <c r="I36" i="1"/>
  <c r="I35" i="1"/>
  <c r="J35" i="1" s="1"/>
  <c r="I34" i="1"/>
  <c r="J34" i="1" s="1"/>
  <c r="J33" i="1"/>
  <c r="I33" i="1"/>
  <c r="I32" i="1"/>
  <c r="J32" i="1" s="1"/>
  <c r="I31" i="1"/>
  <c r="J31" i="1" s="1"/>
  <c r="I30" i="1"/>
  <c r="J30" i="1" s="1"/>
  <c r="J29" i="1"/>
  <c r="I29" i="1"/>
  <c r="J28" i="1"/>
  <c r="I28" i="1"/>
  <c r="J27" i="1"/>
  <c r="I27" i="1"/>
  <c r="I26" i="1"/>
  <c r="J26" i="1" s="1"/>
  <c r="I25" i="1"/>
  <c r="J25" i="1" s="1"/>
  <c r="J24" i="1"/>
  <c r="I24" i="1"/>
  <c r="I23" i="1"/>
  <c r="J23" i="1" s="1"/>
  <c r="I22" i="1"/>
  <c r="J22" i="1" s="1"/>
  <c r="I21" i="1"/>
  <c r="J21" i="1" s="1"/>
  <c r="J20" i="1"/>
  <c r="I20" i="1"/>
  <c r="J19" i="1"/>
  <c r="I19" i="1"/>
  <c r="J18" i="1"/>
  <c r="I18" i="1"/>
  <c r="I17" i="1"/>
  <c r="J17" i="1" s="1"/>
  <c r="I16" i="1"/>
  <c r="J16" i="1" s="1"/>
  <c r="J15" i="1"/>
  <c r="I15" i="1"/>
  <c r="I14" i="1"/>
  <c r="J14" i="1" s="1"/>
  <c r="I13" i="1"/>
  <c r="J13" i="1" s="1"/>
  <c r="I12" i="1"/>
  <c r="J12" i="1" s="1"/>
  <c r="J11" i="1"/>
  <c r="I11" i="1"/>
  <c r="J10" i="1"/>
  <c r="I10" i="1"/>
  <c r="J9" i="1"/>
  <c r="I9" i="1"/>
  <c r="I8" i="1"/>
  <c r="J8" i="1" s="1"/>
  <c r="I7" i="1"/>
  <c r="J7" i="1" s="1"/>
  <c r="J6" i="1"/>
  <c r="I6" i="1"/>
  <c r="I5" i="1"/>
  <c r="J5" i="1" s="1"/>
  <c r="I4" i="1"/>
  <c r="J4" i="1" s="1"/>
  <c r="I3" i="1"/>
  <c r="J3" i="1" s="1"/>
  <c r="J2" i="1"/>
  <c r="I2" i="1"/>
  <c r="B132" i="2" l="1"/>
  <c r="E142" i="2"/>
  <c r="E143" i="2"/>
  <c r="E144" i="2"/>
  <c r="B130" i="2"/>
  <c r="H131" i="2"/>
  <c r="D114" i="2"/>
  <c r="B117" i="2"/>
  <c r="B116" i="2"/>
  <c r="B114" i="2"/>
  <c r="B11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0FE948-8352-45FD-9717-69020F001474}" keepAlive="1" name="Query - Table001 (Page 1-2)" description="Connection to the 'Table001 (Page 1-2)' query in the workbook." type="5" refreshedVersion="8" background="1" saveData="1">
    <dbPr connection="Provider=Microsoft.Mashup.OleDb.1;Data Source=$Workbook$;Location=&quot;Table001 (Page 1-2)&quot;;Extended Properties=&quot;&quot;" command="SELECT * FROM [Table001 (Page 1-2)]"/>
  </connection>
  <connection id="2" xr16:uid="{B71E6DBC-44A4-41A8-9651-36085FACBE4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DE2EC9E-6641-4AD3-9BAD-273726DDC4B4}" name="WorksheetConnection_Table001 (Page 1-2)!$A$1:$K$10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able001Page12A1K108"/>
        </x15:connection>
      </ext>
    </extLst>
  </connection>
  <connection id="4" xr16:uid="{E9CD03AB-A047-48C7-8D37-F3179B7F55AC}" name="WorksheetConnection_Table001 (Page 1-2)!$A$1:$L$108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Table001Page12A1L108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 1].[Gender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<sst xmlns="http://schemas.openxmlformats.org/spreadsheetml/2006/main" count="1247" uniqueCount="219">
  <si>
    <t>Gender</t>
  </si>
  <si>
    <t>Physical Activity level</t>
  </si>
  <si>
    <t>How often do you exercise ?</t>
  </si>
  <si>
    <t>Diet type</t>
  </si>
  <si>
    <t>Yamuna</t>
  </si>
  <si>
    <t>Female</t>
  </si>
  <si>
    <t>5</t>
  </si>
  <si>
    <t>High</t>
  </si>
  <si>
    <t>1/2 times/week</t>
  </si>
  <si>
    <t>Non-vegetarian</t>
  </si>
  <si>
    <t>Tejupooja</t>
  </si>
  <si>
    <t>6</t>
  </si>
  <si>
    <t>Moderate</t>
  </si>
  <si>
    <t>Daily</t>
  </si>
  <si>
    <t>Vegetarian</t>
  </si>
  <si>
    <t>Monika</t>
  </si>
  <si>
    <t>4.1</t>
  </si>
  <si>
    <t>Harshitha Gowda</t>
  </si>
  <si>
    <t>5.2</t>
  </si>
  <si>
    <t>Bhoomika E</t>
  </si>
  <si>
    <t>Vegan</t>
  </si>
  <si>
    <t>G.Thaanya</t>
  </si>
  <si>
    <t>3/5 times/week</t>
  </si>
  <si>
    <t>Bhoomika. M</t>
  </si>
  <si>
    <t>5.3</t>
  </si>
  <si>
    <t>Low</t>
  </si>
  <si>
    <t>Never</t>
  </si>
  <si>
    <t>Deekshitha s</t>
  </si>
  <si>
    <t>Sakshi</t>
  </si>
  <si>
    <t>5.6</t>
  </si>
  <si>
    <t>Rutuja J.B</t>
  </si>
  <si>
    <t>Harshitha</t>
  </si>
  <si>
    <t>5.4</t>
  </si>
  <si>
    <t>Nithya shree s</t>
  </si>
  <si>
    <t>syeda</t>
  </si>
  <si>
    <t>Kencha</t>
  </si>
  <si>
    <t>Male</t>
  </si>
  <si>
    <t>Varun</t>
  </si>
  <si>
    <t>Swathi M L</t>
  </si>
  <si>
    <t>Sanusha</t>
  </si>
  <si>
    <t>Sai.Sukanya</t>
  </si>
  <si>
    <t>Chethan KC</t>
  </si>
  <si>
    <t>Sandya R</t>
  </si>
  <si>
    <t>Shivaraj</t>
  </si>
  <si>
    <t>5.7</t>
  </si>
  <si>
    <t>Shanth Kumar</t>
  </si>
  <si>
    <t>5.9</t>
  </si>
  <si>
    <t>Varshini</t>
  </si>
  <si>
    <t>Ashok</t>
  </si>
  <si>
    <t>5.5</t>
  </si>
  <si>
    <t>Roshan</t>
  </si>
  <si>
    <t>Preksha Gangamma N.B</t>
  </si>
  <si>
    <t>Meghana S S</t>
  </si>
  <si>
    <t>Sathyashree</t>
  </si>
  <si>
    <t>Vijay kumar</t>
  </si>
  <si>
    <t>Dharani.k</t>
  </si>
  <si>
    <t>4.7</t>
  </si>
  <si>
    <t>Yogesh</t>
  </si>
  <si>
    <t>Srikanth</t>
  </si>
  <si>
    <t>Prameela</t>
  </si>
  <si>
    <t>Nikitha A</t>
  </si>
  <si>
    <t>Deeksha</t>
  </si>
  <si>
    <t>4</t>
  </si>
  <si>
    <t>Bopaiah</t>
  </si>
  <si>
    <t>Anitha</t>
  </si>
  <si>
    <t>Keerthana R</t>
  </si>
  <si>
    <t>Manusha.M</t>
  </si>
  <si>
    <t>Shreya</t>
  </si>
  <si>
    <t>Vimala</t>
  </si>
  <si>
    <t>3.5</t>
  </si>
  <si>
    <t>Saru</t>
  </si>
  <si>
    <t>Sathya shree k</t>
  </si>
  <si>
    <t>Raja</t>
  </si>
  <si>
    <t>Napanda Doddaiah</t>
  </si>
  <si>
    <t>N P Vasu</t>
  </si>
  <si>
    <t>Indira Pavana</t>
  </si>
  <si>
    <t>N D Aadya</t>
  </si>
  <si>
    <t>Shambu Charmanna</t>
  </si>
  <si>
    <t>B C Meena</t>
  </si>
  <si>
    <t>A K Mittu</t>
  </si>
  <si>
    <t>A M Shanthi</t>
  </si>
  <si>
    <t>Bhavana.V</t>
  </si>
  <si>
    <t>A M Sharath</t>
  </si>
  <si>
    <t>Shwetha Auradkar</t>
  </si>
  <si>
    <t>4.9</t>
  </si>
  <si>
    <t>Manoj</t>
  </si>
  <si>
    <t>Rohini</t>
  </si>
  <si>
    <t>Meenakshi</t>
  </si>
  <si>
    <t>Nithya shree M</t>
  </si>
  <si>
    <t>Nisha thapa</t>
  </si>
  <si>
    <t>Shrinidhi Poojary</t>
  </si>
  <si>
    <t>Pranitha</t>
  </si>
  <si>
    <t>LEKHA</t>
  </si>
  <si>
    <t>Ranjitha</t>
  </si>
  <si>
    <t>NK Monica</t>
  </si>
  <si>
    <t>Brinda.N</t>
  </si>
  <si>
    <t>Spoorthi A</t>
  </si>
  <si>
    <t>Aishwarya v</t>
  </si>
  <si>
    <t>Bhavana venkatesh</t>
  </si>
  <si>
    <t>Rafiya</t>
  </si>
  <si>
    <t>Madhuri</t>
  </si>
  <si>
    <t>Ankita r Paswan</t>
  </si>
  <si>
    <t>Chaithra</t>
  </si>
  <si>
    <t>Nishant</t>
  </si>
  <si>
    <t>Trisha.M</t>
  </si>
  <si>
    <t>Monisha.p</t>
  </si>
  <si>
    <t>Varuni Joshi</t>
  </si>
  <si>
    <t>Mahitha.M</t>
  </si>
  <si>
    <t>Mamatha pk</t>
  </si>
  <si>
    <t>Abhiram.R</t>
  </si>
  <si>
    <t>Priyanka</t>
  </si>
  <si>
    <t>Shubhangi Gupta</t>
  </si>
  <si>
    <t>5.1</t>
  </si>
  <si>
    <t>Sachin</t>
  </si>
  <si>
    <t>Asfiya</t>
  </si>
  <si>
    <t>Yashas</t>
  </si>
  <si>
    <t>Ravi</t>
  </si>
  <si>
    <t>Ramya</t>
  </si>
  <si>
    <t>Ruthvik</t>
  </si>
  <si>
    <t>Chethan</t>
  </si>
  <si>
    <t>5.673</t>
  </si>
  <si>
    <t>Kishan</t>
  </si>
  <si>
    <t>Afreen Taj.</t>
  </si>
  <si>
    <t>Shalini</t>
  </si>
  <si>
    <t>Nanditha</t>
  </si>
  <si>
    <t>4.8</t>
  </si>
  <si>
    <t>Shashi</t>
  </si>
  <si>
    <t>Soma</t>
  </si>
  <si>
    <t>Gowtham</t>
  </si>
  <si>
    <t>Ganesh</t>
  </si>
  <si>
    <t>Thejaswini p</t>
  </si>
  <si>
    <t>Bharath</t>
  </si>
  <si>
    <t>Varuna</t>
  </si>
  <si>
    <t>Uzma fathima</t>
  </si>
  <si>
    <t>Poojitha B</t>
  </si>
  <si>
    <t>Sharanya.N</t>
  </si>
  <si>
    <t>Rakesh</t>
  </si>
  <si>
    <t>Sumisha</t>
  </si>
  <si>
    <t>Snehalatha.p</t>
  </si>
  <si>
    <t>Age</t>
  </si>
  <si>
    <t>Height (in ft)</t>
  </si>
  <si>
    <t>A K Athaliah</t>
  </si>
  <si>
    <t>Name</t>
  </si>
  <si>
    <t>Weight(in kg)</t>
  </si>
  <si>
    <t>Height(in meters)</t>
  </si>
  <si>
    <t>BMI Calculation</t>
  </si>
  <si>
    <t>BMI Category</t>
  </si>
  <si>
    <t>Underweight</t>
  </si>
  <si>
    <t>Normal</t>
  </si>
  <si>
    <t>Overweight</t>
  </si>
  <si>
    <t>Obese</t>
  </si>
  <si>
    <t>Category</t>
  </si>
  <si>
    <t>Count</t>
  </si>
  <si>
    <t xml:space="preserve">Normal </t>
  </si>
  <si>
    <t>If it's positive, BMI tends to increase with age.</t>
  </si>
  <si>
    <t>If it's negative, BMI tends to decrease with age</t>
  </si>
  <si>
    <t>If the output is  0, there's no strong linear relationship.</t>
  </si>
  <si>
    <t>Does BMI correlate with age and gender:</t>
  </si>
  <si>
    <t>Row Labels</t>
  </si>
  <si>
    <t>Grand Total</t>
  </si>
  <si>
    <t>Sum of Age</t>
  </si>
  <si>
    <t>Count of Name</t>
  </si>
  <si>
    <t>Sum of BMI Calculation</t>
  </si>
  <si>
    <t xml:space="preserve">BMI </t>
  </si>
  <si>
    <t>Ratio and Comparison Calculations</t>
  </si>
  <si>
    <t>Underweight vs. Overweight:</t>
  </si>
  <si>
    <t>Normal vs. Obese:</t>
  </si>
  <si>
    <t>Obese vs. Total:</t>
  </si>
  <si>
    <t>--&gt;“Normal” group is over 8× larger than “Obese”</t>
  </si>
  <si>
    <t>--&gt; Small portion of the population</t>
  </si>
  <si>
    <t>Sum of all categories</t>
  </si>
  <si>
    <t>--&gt; Close in size, only 5 individuals apart</t>
  </si>
  <si>
    <t>Age Group</t>
  </si>
  <si>
    <t>0–20</t>
  </si>
  <si>
    <t>21–40</t>
  </si>
  <si>
    <t>41–60</t>
  </si>
  <si>
    <t>61+</t>
  </si>
  <si>
    <t>Sum of BMI</t>
  </si>
  <si>
    <t>All</t>
  </si>
  <si>
    <t>Pivot Table 1</t>
  </si>
  <si>
    <t>Pivot Table 2</t>
  </si>
  <si>
    <t>Sum of Age Group</t>
  </si>
  <si>
    <t>0-20</t>
  </si>
  <si>
    <t>21-40</t>
  </si>
  <si>
    <t>41-60</t>
  </si>
  <si>
    <t>Average BMI</t>
  </si>
  <si>
    <t xml:space="preserve">Average BMI across </t>
  </si>
  <si>
    <t>the dataset is</t>
  </si>
  <si>
    <t>Summary of Key Observations:</t>
  </si>
  <si>
    <t>18% of individuals are classified as overweight, while 7% fall into the obese category</t>
  </si>
  <si>
    <t>BMI tends to increase with age, peaking in the 41–60 age group</t>
  </si>
  <si>
    <t>Using AVERAGEIFS to Calculate Gender-Based BMI</t>
  </si>
  <si>
    <t xml:space="preserve">Average BMI </t>
  </si>
  <si>
    <r>
      <rPr>
        <b/>
        <sz val="12"/>
        <color theme="1"/>
        <rFont val="Calibri"/>
        <family val="2"/>
        <scheme val="minor"/>
      </rPr>
      <t>Female</t>
    </r>
    <r>
      <rPr>
        <sz val="12"/>
        <color theme="1"/>
        <rFont val="Calibri"/>
        <family val="2"/>
        <scheme val="minor"/>
      </rPr>
      <t xml:space="preserve"> age group </t>
    </r>
    <r>
      <rPr>
        <b/>
        <sz val="12"/>
        <color theme="1"/>
        <rFont val="Calibri"/>
        <family val="2"/>
        <scheme val="minor"/>
      </rPr>
      <t>0-20</t>
    </r>
  </si>
  <si>
    <r>
      <rPr>
        <b/>
        <sz val="12"/>
        <color theme="1"/>
        <rFont val="Calibri"/>
        <family val="2"/>
        <scheme val="minor"/>
      </rPr>
      <t>Male</t>
    </r>
    <r>
      <rPr>
        <sz val="12"/>
        <color theme="1"/>
        <rFont val="Calibri"/>
        <family val="2"/>
        <scheme val="minor"/>
      </rPr>
      <t xml:space="preserve"> age group </t>
    </r>
    <r>
      <rPr>
        <b/>
        <sz val="12"/>
        <color theme="1"/>
        <rFont val="Calibri"/>
        <family val="2"/>
        <scheme val="minor"/>
      </rPr>
      <t>0-20</t>
    </r>
  </si>
  <si>
    <r>
      <rPr>
        <b/>
        <sz val="12"/>
        <color theme="1"/>
        <rFont val="Calibri"/>
        <family val="2"/>
        <scheme val="minor"/>
      </rPr>
      <t>Female</t>
    </r>
    <r>
      <rPr>
        <sz val="12"/>
        <color theme="1"/>
        <rFont val="Calibri"/>
        <family val="2"/>
        <scheme val="minor"/>
      </rPr>
      <t xml:space="preserve"> age group </t>
    </r>
    <r>
      <rPr>
        <b/>
        <sz val="12"/>
        <color theme="1"/>
        <rFont val="Calibri"/>
        <family val="2"/>
        <scheme val="minor"/>
      </rPr>
      <t>21-40</t>
    </r>
  </si>
  <si>
    <r>
      <rPr>
        <b/>
        <sz val="12"/>
        <color theme="1"/>
        <rFont val="Calibri"/>
        <family val="2"/>
        <scheme val="minor"/>
      </rPr>
      <t>Male</t>
    </r>
    <r>
      <rPr>
        <sz val="12"/>
        <color theme="1"/>
        <rFont val="Calibri"/>
        <family val="2"/>
        <scheme val="minor"/>
      </rPr>
      <t xml:space="preserve"> age group</t>
    </r>
    <r>
      <rPr>
        <b/>
        <sz val="12"/>
        <color theme="1"/>
        <rFont val="Calibri"/>
        <family val="2"/>
        <scheme val="minor"/>
      </rPr>
      <t xml:space="preserve"> 21-40</t>
    </r>
  </si>
  <si>
    <r>
      <rPr>
        <b/>
        <sz val="12"/>
        <color theme="1"/>
        <rFont val="Calibri"/>
        <family val="2"/>
        <scheme val="minor"/>
      </rPr>
      <t>Female</t>
    </r>
    <r>
      <rPr>
        <sz val="12"/>
        <color theme="1"/>
        <rFont val="Calibri"/>
        <family val="2"/>
        <scheme val="minor"/>
      </rPr>
      <t xml:space="preserve"> age group </t>
    </r>
    <r>
      <rPr>
        <b/>
        <sz val="12"/>
        <color theme="1"/>
        <rFont val="Calibri"/>
        <family val="2"/>
        <scheme val="minor"/>
      </rPr>
      <t>41-60</t>
    </r>
  </si>
  <si>
    <r>
      <rPr>
        <b/>
        <sz val="12"/>
        <color theme="1"/>
        <rFont val="Calibri"/>
        <family val="2"/>
        <scheme val="minor"/>
      </rPr>
      <t>Male</t>
    </r>
    <r>
      <rPr>
        <sz val="12"/>
        <color theme="1"/>
        <rFont val="Calibri"/>
        <family val="2"/>
        <scheme val="minor"/>
      </rPr>
      <t xml:space="preserve"> age group </t>
    </r>
    <r>
      <rPr>
        <b/>
        <sz val="12"/>
        <color theme="1"/>
        <rFont val="Calibri"/>
        <family val="2"/>
        <scheme val="minor"/>
      </rPr>
      <t>41-60</t>
    </r>
  </si>
  <si>
    <r>
      <rPr>
        <b/>
        <sz val="12"/>
        <color theme="1"/>
        <rFont val="Calibri"/>
        <family val="2"/>
        <scheme val="minor"/>
      </rPr>
      <t>Female</t>
    </r>
    <r>
      <rPr>
        <sz val="12"/>
        <color theme="1"/>
        <rFont val="Calibri"/>
        <family val="2"/>
        <scheme val="minor"/>
      </rPr>
      <t xml:space="preserve"> age group </t>
    </r>
    <r>
      <rPr>
        <b/>
        <sz val="12"/>
        <color theme="1"/>
        <rFont val="Calibri"/>
        <family val="2"/>
        <scheme val="minor"/>
      </rPr>
      <t>61+</t>
    </r>
  </si>
  <si>
    <r>
      <rPr>
        <b/>
        <sz val="12"/>
        <color theme="1"/>
        <rFont val="Calibri"/>
        <family val="2"/>
        <scheme val="minor"/>
      </rPr>
      <t>Male</t>
    </r>
    <r>
      <rPr>
        <sz val="12"/>
        <color theme="1"/>
        <rFont val="Calibri"/>
        <family val="2"/>
        <scheme val="minor"/>
      </rPr>
      <t xml:space="preserve"> age group </t>
    </r>
    <r>
      <rPr>
        <b/>
        <sz val="12"/>
        <color theme="1"/>
        <rFont val="Calibri"/>
        <family val="2"/>
        <scheme val="minor"/>
      </rPr>
      <t>61+</t>
    </r>
  </si>
  <si>
    <r>
      <t>Average BMI across the dataset is</t>
    </r>
    <r>
      <rPr>
        <b/>
        <sz val="12"/>
        <color theme="1" tint="4.9989318521683403E-2"/>
        <rFont val="Calibri"/>
        <family val="2"/>
        <scheme val="minor"/>
      </rPr>
      <t xml:space="preserve"> 22</t>
    </r>
    <r>
      <rPr>
        <b/>
        <sz val="12"/>
        <color theme="1"/>
        <rFont val="Calibri"/>
        <family val="2"/>
        <scheme val="minor"/>
      </rPr>
      <t>, which falls in the normal range</t>
    </r>
  </si>
  <si>
    <t>Females show slightly higher average BMI than males in the 41-60 age bracket</t>
  </si>
  <si>
    <t>KPI</t>
  </si>
  <si>
    <t>Value</t>
  </si>
  <si>
    <t>Status</t>
  </si>
  <si>
    <t>% Overweight</t>
  </si>
  <si>
    <t>% Obese</t>
  </si>
  <si>
    <t>BMI &gt; 40 (Outliers)</t>
  </si>
  <si>
    <t>Healthy</t>
  </si>
  <si>
    <t>Moderate Risk</t>
  </si>
  <si>
    <t>Acceptable</t>
  </si>
  <si>
    <t>Flagged</t>
  </si>
  <si>
    <t>No extreme BMI values were detected, indicating data consistency and absence of critical health risk cases.</t>
  </si>
  <si>
    <t>Explanation</t>
  </si>
  <si>
    <t>Key Performance Indicators:</t>
  </si>
  <si>
    <t>Most people have a normal BMI — that’s a good sign.</t>
  </si>
  <si>
    <t>Some people are above the healthy range — worth keeping an eye on.</t>
  </si>
  <si>
    <t>Only a few people are in the obese range — not too worrying yet.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</si>
</sst>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F63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9AA9D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2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left" wrapText="1"/>
    </xf>
    <xf numFmtId="0" fontId="0" fillId="0" borderId="6" xfId="0" applyBorder="1"/>
    <xf numFmtId="49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/>
    <xf numFmtId="2" fontId="1" fillId="0" borderId="0" xfId="0" applyNumberFormat="1" applyFont="1" applyAlignment="1">
      <alignment horizontal="left"/>
    </xf>
    <xf numFmtId="0" fontId="2" fillId="0" borderId="4" xfId="0" applyFont="1" applyBorder="1"/>
    <xf numFmtId="0" fontId="2" fillId="0" borderId="5" xfId="0" applyFont="1" applyBorder="1" applyAlignment="1">
      <alignment horizontal="left"/>
    </xf>
    <xf numFmtId="49" fontId="1" fillId="0" borderId="2" xfId="0" applyNumberFormat="1" applyFont="1" applyBorder="1"/>
    <xf numFmtId="49" fontId="1" fillId="0" borderId="6" xfId="0" applyNumberFormat="1" applyFont="1" applyBorder="1"/>
    <xf numFmtId="1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/>
    <xf numFmtId="1" fontId="2" fillId="0" borderId="10" xfId="0" applyNumberFormat="1" applyFont="1" applyBorder="1" applyAlignment="1">
      <alignment horizontal="left"/>
    </xf>
    <xf numFmtId="49" fontId="2" fillId="0" borderId="4" xfId="0" applyNumberFormat="1" applyFont="1" applyBorder="1"/>
    <xf numFmtId="0" fontId="3" fillId="0" borderId="7" xfId="0" applyFont="1" applyBorder="1"/>
    <xf numFmtId="1" fontId="3" fillId="0" borderId="11" xfId="0" applyNumberFormat="1" applyFont="1" applyBorder="1" applyAlignment="1">
      <alignment horizontal="left"/>
    </xf>
    <xf numFmtId="0" fontId="2" fillId="0" borderId="8" xfId="0" applyFont="1" applyBorder="1" applyAlignment="1">
      <alignment horizontal="left" vertical="center" indent="1"/>
    </xf>
    <xf numFmtId="49" fontId="2" fillId="0" borderId="0" xfId="0" applyNumberFormat="1" applyFont="1"/>
    <xf numFmtId="49" fontId="2" fillId="0" borderId="9" xfId="0" applyNumberFormat="1" applyFont="1" applyBorder="1"/>
    <xf numFmtId="0" fontId="2" fillId="0" borderId="5" xfId="0" applyFont="1" applyBorder="1" applyAlignment="1">
      <alignment horizontal="left" vertical="center" indent="1"/>
    </xf>
    <xf numFmtId="49" fontId="2" fillId="0" borderId="10" xfId="0" applyNumberFormat="1" applyFont="1" applyBorder="1"/>
    <xf numFmtId="1" fontId="4" fillId="0" borderId="3" xfId="0" applyNumberFormat="1" applyFont="1" applyBorder="1" applyAlignment="1">
      <alignment horizontal="left"/>
    </xf>
    <xf numFmtId="0" fontId="4" fillId="0" borderId="3" xfId="0" applyFont="1" applyBorder="1" applyAlignment="1">
      <alignment horizontal="left"/>
    </xf>
    <xf numFmtId="1" fontId="4" fillId="0" borderId="7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1" fontId="1" fillId="0" borderId="1" xfId="0" applyNumberFormat="1" applyFont="1" applyBorder="1" applyAlignment="1">
      <alignment horizontal="left" wrapText="1"/>
    </xf>
    <xf numFmtId="2" fontId="1" fillId="4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/>
    <xf numFmtId="1" fontId="2" fillId="5" borderId="1" xfId="0" applyNumberFormat="1" applyFont="1" applyFill="1" applyBorder="1" applyAlignment="1">
      <alignment horizontal="left"/>
    </xf>
    <xf numFmtId="0" fontId="2" fillId="5" borderId="1" xfId="0" applyFont="1" applyFill="1" applyBorder="1"/>
    <xf numFmtId="2" fontId="2" fillId="5" borderId="1" xfId="0" applyNumberFormat="1" applyFont="1" applyFill="1" applyBorder="1" applyAlignment="1">
      <alignment horizontal="left"/>
    </xf>
    <xf numFmtId="2" fontId="1" fillId="2" borderId="1" xfId="0" applyNumberFormat="1" applyFont="1" applyFill="1" applyBorder="1" applyAlignment="1">
      <alignment horizontal="left"/>
    </xf>
    <xf numFmtId="0" fontId="2" fillId="0" borderId="3" xfId="0" applyFont="1" applyBorder="1"/>
    <xf numFmtId="0" fontId="0" fillId="0" borderId="1" xfId="0" applyBorder="1"/>
    <xf numFmtId="0" fontId="0" fillId="0" borderId="1" xfId="0" applyBorder="1" applyAlignment="1">
      <alignment horizontal="left" vertical="center" indent="1"/>
    </xf>
    <xf numFmtId="49" fontId="1" fillId="0" borderId="9" xfId="0" applyNumberFormat="1" applyFont="1" applyBorder="1"/>
    <xf numFmtId="49" fontId="1" fillId="0" borderId="10" xfId="0" applyNumberFormat="1" applyFont="1" applyBorder="1"/>
    <xf numFmtId="1" fontId="1" fillId="0" borderId="10" xfId="0" applyNumberFormat="1" applyFont="1" applyBorder="1" applyAlignment="1">
      <alignment horizontal="left"/>
    </xf>
    <xf numFmtId="49" fontId="1" fillId="0" borderId="4" xfId="0" applyNumberFormat="1" applyFont="1" applyBorder="1"/>
    <xf numFmtId="0" fontId="2" fillId="5" borderId="2" xfId="0" applyFont="1" applyFill="1" applyBorder="1"/>
    <xf numFmtId="49" fontId="2" fillId="6" borderId="7" xfId="0" applyNumberFormat="1" applyFont="1" applyFill="1" applyBorder="1"/>
    <xf numFmtId="0" fontId="2" fillId="6" borderId="11" xfId="0" applyFont="1" applyFill="1" applyBorder="1" applyAlignment="1">
      <alignment horizontal="left"/>
    </xf>
    <xf numFmtId="49" fontId="1" fillId="6" borderId="11" xfId="0" applyNumberFormat="1" applyFont="1" applyFill="1" applyBorder="1"/>
    <xf numFmtId="1" fontId="1" fillId="6" borderId="11" xfId="0" applyNumberFormat="1" applyFont="1" applyFill="1" applyBorder="1" applyAlignment="1">
      <alignment horizontal="left"/>
    </xf>
    <xf numFmtId="49" fontId="1" fillId="6" borderId="6" xfId="0" applyNumberFormat="1" applyFont="1" applyFill="1" applyBorder="1"/>
    <xf numFmtId="1" fontId="2" fillId="0" borderId="0" xfId="0" applyNumberFormat="1" applyFont="1" applyAlignment="1">
      <alignment horizontal="left"/>
    </xf>
    <xf numFmtId="49" fontId="3" fillId="0" borderId="11" xfId="0" applyNumberFormat="1" applyFont="1" applyBorder="1"/>
    <xf numFmtId="1" fontId="2" fillId="3" borderId="8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1" fontId="2" fillId="5" borderId="9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right"/>
    </xf>
    <xf numFmtId="49" fontId="2" fillId="6" borderId="0" xfId="0" applyNumberFormat="1" applyFont="1" applyFill="1"/>
    <xf numFmtId="0" fontId="2" fillId="6" borderId="0" xfId="0" applyFont="1" applyFill="1"/>
    <xf numFmtId="1" fontId="5" fillId="0" borderId="1" xfId="0" applyNumberFormat="1" applyFont="1" applyBorder="1" applyAlignment="1">
      <alignment horizontal="left"/>
    </xf>
    <xf numFmtId="0" fontId="2" fillId="0" borderId="12" xfId="0" applyFont="1" applyBorder="1"/>
    <xf numFmtId="49" fontId="2" fillId="0" borderId="13" xfId="0" applyNumberFormat="1" applyFont="1" applyBorder="1"/>
    <xf numFmtId="1" fontId="2" fillId="7" borderId="12" xfId="0" applyNumberFormat="1" applyFont="1" applyFill="1" applyBorder="1" applyAlignment="1">
      <alignment horizontal="left"/>
    </xf>
    <xf numFmtId="1" fontId="1" fillId="7" borderId="13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pivotButton="1" applyFont="1"/>
    <xf numFmtId="1" fontId="1" fillId="0" borderId="18" xfId="0" applyNumberFormat="1" applyFont="1" applyBorder="1" applyAlignment="1">
      <alignment horizontal="left"/>
    </xf>
    <xf numFmtId="1" fontId="1" fillId="0" borderId="21" xfId="0" applyNumberFormat="1" applyFont="1" applyBorder="1" applyAlignment="1">
      <alignment horizontal="left"/>
    </xf>
    <xf numFmtId="1" fontId="2" fillId="0" borderId="20" xfId="0" applyNumberFormat="1" applyFont="1" applyBorder="1" applyAlignment="1">
      <alignment horizontal="left"/>
    </xf>
    <xf numFmtId="49" fontId="2" fillId="0" borderId="20" xfId="0" applyNumberFormat="1" applyFont="1" applyBorder="1"/>
    <xf numFmtId="0" fontId="2" fillId="0" borderId="17" xfId="0" applyFont="1" applyBorder="1" applyAlignment="1">
      <alignment horizontal="left" vertical="center" indent="1"/>
    </xf>
    <xf numFmtId="0" fontId="2" fillId="0" borderId="19" xfId="0" applyFont="1" applyBorder="1" applyAlignment="1">
      <alignment horizontal="left" vertical="center" indent="1"/>
    </xf>
    <xf numFmtId="49" fontId="2" fillId="2" borderId="22" xfId="0" applyNumberFormat="1" applyFont="1" applyFill="1" applyBorder="1"/>
    <xf numFmtId="1" fontId="2" fillId="2" borderId="23" xfId="0" applyNumberFormat="1" applyFont="1" applyFill="1" applyBorder="1" applyAlignment="1">
      <alignment horizontal="left"/>
    </xf>
    <xf numFmtId="49" fontId="2" fillId="3" borderId="24" xfId="0" applyNumberFormat="1" applyFont="1" applyFill="1" applyBorder="1"/>
    <xf numFmtId="1" fontId="2" fillId="3" borderId="25" xfId="0" applyNumberFormat="1" applyFont="1" applyFill="1" applyBorder="1" applyAlignment="1">
      <alignment horizontal="left"/>
    </xf>
    <xf numFmtId="49" fontId="1" fillId="0" borderId="24" xfId="0" applyNumberFormat="1" applyFont="1" applyBorder="1"/>
    <xf numFmtId="1" fontId="2" fillId="0" borderId="25" xfId="0" applyNumberFormat="1" applyFont="1" applyBorder="1" applyAlignment="1">
      <alignment horizontal="left"/>
    </xf>
    <xf numFmtId="49" fontId="1" fillId="0" borderId="17" xfId="0" applyNumberFormat="1" applyFont="1" applyBorder="1"/>
    <xf numFmtId="49" fontId="1" fillId="0" borderId="26" xfId="0" applyNumberFormat="1" applyFont="1" applyBorder="1"/>
    <xf numFmtId="1" fontId="2" fillId="0" borderId="27" xfId="0" applyNumberFormat="1" applyFont="1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3" xfId="0" applyBorder="1"/>
    <xf numFmtId="0" fontId="0" fillId="0" borderId="2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13" xfId="0" applyBorder="1" applyAlignment="1">
      <alignment horizontal="left"/>
    </xf>
    <xf numFmtId="1" fontId="2" fillId="7" borderId="15" xfId="0" applyNumberFormat="1" applyFont="1" applyFill="1" applyBorder="1" applyAlignment="1">
      <alignment horizontal="left"/>
    </xf>
    <xf numFmtId="49" fontId="2" fillId="7" borderId="15" xfId="0" applyNumberFormat="1" applyFont="1" applyFill="1" applyBorder="1"/>
    <xf numFmtId="0" fontId="2" fillId="0" borderId="0" xfId="0" applyFont="1"/>
    <xf numFmtId="0" fontId="2" fillId="0" borderId="18" xfId="0" applyFont="1" applyBorder="1"/>
    <xf numFmtId="0" fontId="2" fillId="0" borderId="20" xfId="0" applyFont="1" applyBorder="1"/>
    <xf numFmtId="0" fontId="2" fillId="0" borderId="21" xfId="0" applyFont="1" applyBorder="1"/>
    <xf numFmtId="1" fontId="2" fillId="0" borderId="1" xfId="0" applyNumberFormat="1" applyFont="1" applyBorder="1" applyAlignment="1">
      <alignment horizontal="left"/>
    </xf>
    <xf numFmtId="0" fontId="2" fillId="12" borderId="1" xfId="0" applyFont="1" applyFill="1" applyBorder="1"/>
    <xf numFmtId="0" fontId="2" fillId="11" borderId="1" xfId="0" applyFont="1" applyFill="1" applyBorder="1"/>
    <xf numFmtId="0" fontId="2" fillId="10" borderId="1" xfId="0" applyFont="1" applyFill="1" applyBorder="1"/>
    <xf numFmtId="0" fontId="2" fillId="7" borderId="29" xfId="0" applyFont="1" applyFill="1" applyBorder="1"/>
    <xf numFmtId="0" fontId="8" fillId="7" borderId="14" xfId="0" applyFont="1" applyFill="1" applyBorder="1"/>
    <xf numFmtId="1" fontId="8" fillId="7" borderId="15" xfId="0" applyNumberFormat="1" applyFont="1" applyFill="1" applyBorder="1" applyAlignment="1">
      <alignment horizontal="left"/>
    </xf>
    <xf numFmtId="49" fontId="2" fillId="9" borderId="30" xfId="0" applyNumberFormat="1" applyFont="1" applyFill="1" applyBorder="1"/>
    <xf numFmtId="1" fontId="2" fillId="9" borderId="31" xfId="0" applyNumberFormat="1" applyFont="1" applyFill="1" applyBorder="1" applyAlignment="1">
      <alignment horizontal="left"/>
    </xf>
    <xf numFmtId="49" fontId="2" fillId="9" borderId="31" xfId="0" applyNumberFormat="1" applyFont="1" applyFill="1" applyBorder="1"/>
    <xf numFmtId="1" fontId="2" fillId="9" borderId="32" xfId="0" applyNumberFormat="1" applyFont="1" applyFill="1" applyBorder="1" applyAlignment="1">
      <alignment horizontal="left"/>
    </xf>
    <xf numFmtId="49" fontId="2" fillId="9" borderId="32" xfId="0" applyNumberFormat="1" applyFont="1" applyFill="1" applyBorder="1"/>
    <xf numFmtId="49" fontId="2" fillId="9" borderId="23" xfId="0" applyNumberFormat="1" applyFont="1" applyFill="1" applyBorder="1"/>
    <xf numFmtId="0" fontId="2" fillId="0" borderId="24" xfId="0" applyFont="1" applyBorder="1"/>
    <xf numFmtId="0" fontId="2" fillId="0" borderId="26" xfId="0" applyFont="1" applyBorder="1"/>
    <xf numFmtId="1" fontId="2" fillId="0" borderId="33" xfId="0" applyNumberFormat="1" applyFont="1" applyBorder="1" applyAlignment="1">
      <alignment horizontal="left"/>
    </xf>
    <xf numFmtId="0" fontId="2" fillId="13" borderId="33" xfId="0" applyFont="1" applyFill="1" applyBorder="1"/>
    <xf numFmtId="0" fontId="9" fillId="8" borderId="14" xfId="0" applyFont="1" applyFill="1" applyBorder="1" applyAlignment="1">
      <alignment vertical="center"/>
    </xf>
    <xf numFmtId="1" fontId="10" fillId="8" borderId="15" xfId="0" applyNumberFormat="1" applyFont="1" applyFill="1" applyBorder="1" applyAlignment="1">
      <alignment horizontal="left"/>
    </xf>
    <xf numFmtId="49" fontId="10" fillId="8" borderId="15" xfId="0" applyNumberFormat="1" applyFont="1" applyFill="1" applyBorder="1"/>
    <xf numFmtId="1" fontId="11" fillId="8" borderId="16" xfId="0" applyNumberFormat="1" applyFont="1" applyFill="1" applyBorder="1" applyAlignment="1">
      <alignment horizontal="left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9AA9D"/>
      <color rgb="FFF67E6A"/>
      <color rgb="FF040416"/>
      <color rgb="FFEF6366"/>
      <color rgb="FFF52337"/>
      <color rgb="FFFF9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10/relationships/person" Target="persons/person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BMI Trend Across Age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'Table001 (Page 1-2)'!$B$129</c:f>
              <c:strCache>
                <c:ptCount val="1"/>
                <c:pt idx="0">
                  <c:v>Average BMI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'Table001 (Page 1-2)'!$A$130:$A$133</c:f>
              <c:strCache>
                <c:ptCount val="4"/>
                <c:pt idx="0">
                  <c:v>0-20</c:v>
                </c:pt>
                <c:pt idx="1">
                  <c:v>21-40</c:v>
                </c:pt>
                <c:pt idx="2">
                  <c:v>41-60</c:v>
                </c:pt>
                <c:pt idx="3">
                  <c:v>61+</c:v>
                </c:pt>
              </c:strCache>
            </c:strRef>
          </c:cat>
          <c:val>
            <c:numRef>
              <c:f>'Table001 (Page 1-2)'!$B$130:$B$133</c:f>
              <c:numCache>
                <c:formatCode>General</c:formatCode>
                <c:ptCount val="4"/>
                <c:pt idx="0">
                  <c:v>21.738095238095248</c:v>
                </c:pt>
                <c:pt idx="1">
                  <c:v>20.936666666666664</c:v>
                </c:pt>
                <c:pt idx="2">
                  <c:v>24.281818181818185</c:v>
                </c:pt>
                <c:pt idx="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19-41B5-8FB7-AE17695B92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89837104"/>
        <c:axId val="1489834224"/>
      </c:lineChart>
      <c:catAx>
        <c:axId val="1489837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834224"/>
        <c:crosses val="autoZero"/>
        <c:auto val="1"/>
        <c:lblAlgn val="ctr"/>
        <c:lblOffset val="100"/>
        <c:noMultiLvlLbl val="0"/>
      </c:catAx>
      <c:valAx>
        <c:axId val="14898342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83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307767</xdr:colOff>
      <xdr:row>122</xdr:row>
      <xdr:rowOff>53787</xdr:rowOff>
    </xdr:from>
    <xdr:to>
      <xdr:col>14</xdr:col>
      <xdr:colOff>197456</xdr:colOff>
      <xdr:row>136</xdr:row>
      <xdr:rowOff>35859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47C6E8-18D5-C6F3-EE64-79F313363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matha a u" refreshedDate="45937.709021296294" backgroundQuery="1" createdVersion="8" refreshedVersion="8" minRefreshableVersion="3" recordCount="0" supportSubquery="1" supportAdvancedDrill="1" xr:uid="{E394F969-1384-4A6A-BC3E-548428E64629}">
  <cacheSource type="external" connectionId="2"/>
  <cacheFields count="3">
    <cacheField name="[Range 1].[Age Group].[Age Group]" caption="Age Group" numFmtId="0" hierarchy="22" level="1">
      <sharedItems count="4">
        <s v="0–20"/>
        <s v="21–40"/>
        <s v="41–60"/>
        <s v="61+"/>
      </sharedItems>
    </cacheField>
    <cacheField name="[Measures].[Sum of BMI]" caption="Sum of BMI" numFmtId="0" hierarchy="30" level="32767"/>
    <cacheField name="[Range 1].[Gender].[Gender]" caption="Gender" numFmtId="0" hierarchy="13" level="1">
      <sharedItems containsSemiMixedTypes="0" containsNonDate="0" containsString="0"/>
    </cacheField>
  </cacheFields>
  <cacheHierarchies count="31"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Height (in ft)]" caption="Height (in ft)" attribute="1" defaultMemberUniqueName="[Range].[Height (in ft)].[All]" allUniqueName="[Range].[Height (in ft)].[All]" dimensionUniqueName="[Range]" displayFolder="" count="0" memberValueDatatype="130" unbalanced="0"/>
    <cacheHierarchy uniqueName="[Range].[Weight(in kg)]" caption="Weight(in kg)" attribute="1" defaultMemberUniqueName="[Range].[Weight(in kg)].[All]" allUniqueName="[Range].[Weight(in kg)].[All]" dimensionUniqueName="[Range]" displayFolder="" count="0" memberValueDatatype="20" unbalanced="0"/>
    <cacheHierarchy uniqueName="[Range].[Physical Activity level]" caption="Physical Activity level" attribute="1" defaultMemberUniqueName="[Range].[Physical Activity level].[All]" allUniqueName="[Range].[Physical Activity level].[All]" dimensionUniqueName="[Range]" displayFolder="" count="0" memberValueDatatype="130" unbalanced="0"/>
    <cacheHierarchy uniqueName="[Range].[How often do you exercise ?]" caption="How often do you exercise ?" attribute="1" defaultMemberUniqueName="[Range].[How often do you exercise ?].[All]" allUniqueName="[Range].[How often do you exercise ?].[All]" dimensionUniqueName="[Range]" displayFolder="" count="0" memberValueDatatype="130" unbalanced="0"/>
    <cacheHierarchy uniqueName="[Range].[Diet type]" caption="Diet type" attribute="1" defaultMemberUniqueName="[Range].[Diet type].[All]" allUniqueName="[Range].[Diet type].[All]" dimensionUniqueName="[Range]" displayFolder="" count="0" memberValueDatatype="130" unbalanced="0"/>
    <cacheHierarchy uniqueName="[Range].[Height(in meters)]" caption="Height(in meters)" attribute="1" defaultMemberUniqueName="[Range].[Height(in meters)].[All]" allUniqueName="[Range].[Height(in meters)].[All]" dimensionUniqueName="[Range]" displayFolder="" count="0" memberValueDatatype="5" unbalanced="0"/>
    <cacheHierarchy uniqueName="[Range].[BMI Calculation]" caption="BMI Calculation" attribute="1" defaultMemberUniqueName="[Range].[BMI Calculation].[All]" allUniqueName="[Range].[BMI Calculation].[All]" dimensionUniqueName="[Range]" displayFolder="" count="0" memberValueDatatype="5" unbalanced="0"/>
    <cacheHierarchy uniqueName="[Range].[BMI Category]" caption="BMI Category" attribute="1" defaultMemberUniqueName="[Range].[BMI Category].[All]" allUniqueName="[Range].[BMI Category].[All]" dimensionUniqueName="[Range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Gender]" caption="Gender" attribute="1" defaultMemberUniqueName="[Range 1].[Gender].[All]" allUniqueName="[Range 1].[Gender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Height (in ft)]" caption="Height (in ft)" attribute="1" defaultMemberUniqueName="[Range 1].[Height (in ft)].[All]" allUniqueName="[Range 1].[Height (in ft)].[All]" dimensionUniqueName="[Range 1]" displayFolder="" count="0" memberValueDatatype="130" unbalanced="0"/>
    <cacheHierarchy uniqueName="[Range 1].[Weight(in kg)]" caption="Weight(in kg)" attribute="1" defaultMemberUniqueName="[Range 1].[Weight(in kg)].[All]" allUniqueName="[Range 1].[Weight(in kg)].[All]" dimensionUniqueName="[Range 1]" displayFolder="" count="0" memberValueDatatype="20" unbalanced="0"/>
    <cacheHierarchy uniqueName="[Range 1].[Physical Activity level]" caption="Physical Activity level" attribute="1" defaultMemberUniqueName="[Range 1].[Physical Activity level].[All]" allUniqueName="[Range 1].[Physical Activity level].[All]" dimensionUniqueName="[Range 1]" displayFolder="" count="0" memberValueDatatype="130" unbalanced="0"/>
    <cacheHierarchy uniqueName="[Range 1].[How often do you exercise ?]" caption="How often do you exercise ?" attribute="1" defaultMemberUniqueName="[Range 1].[How often do you exercise ?].[All]" allUniqueName="[Range 1].[How often do you exercise ?].[All]" dimensionUniqueName="[Range 1]" displayFolder="" count="0" memberValueDatatype="130" unbalanced="0"/>
    <cacheHierarchy uniqueName="[Range 1].[Diet type]" caption="Diet type" attribute="1" defaultMemberUniqueName="[Range 1].[Diet type].[All]" allUniqueName="[Range 1].[Diet type].[All]" dimensionUniqueName="[Range 1]" displayFolder="" count="0" memberValueDatatype="130" unbalanced="0"/>
    <cacheHierarchy uniqueName="[Range 1].[Height(in meters)]" caption="Height(in meters)" attribute="1" defaultMemberUniqueName="[Range 1].[Height(in meters)].[All]" allUniqueName="[Range 1].[Height(in meters)].[All]" dimensionUniqueName="[Range 1]" displayFolder="" count="0" memberValueDatatype="5" unbalanced="0"/>
    <cacheHierarchy uniqueName="[Range 1].[BMI]" caption="BMI" attribute="1" defaultMemberUniqueName="[Range 1].[BMI].[All]" allUniqueName="[Range 1].[BMI].[All]" dimensionUniqueName="[Range 1]" displayFolder="" count="0" memberValueDatatype="5" unbalanced="0"/>
    <cacheHierarchy uniqueName="[Range 1].[BMI Category]" caption="BMI Category" attribute="1" defaultMemberUniqueName="[Range 1].[BMI Category].[All]" allUniqueName="[Range 1].[BMI Category].[All]" dimensionUniqueName="[Range 1]" displayFolder="" count="0" memberValueDatatype="130" unbalanced="0"/>
    <cacheHierarchy uniqueName="[Range 1].[Age Group]" caption="Age Group" attribute="1" defaultMemberUniqueName="[Range 1].[Age Group].[All]" allUniqueName="[Range 1].[Age Group].[All]" dimensionUniqueName="[Range 1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MI Calculation]" caption="Sum of BMI Calculation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Diet type]" caption="Count of Diet typ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BMI]" caption="Sum of BMI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matha a u" refreshedDate="45937.726063078706" backgroundQuery="1" createdVersion="8" refreshedVersion="8" minRefreshableVersion="3" recordCount="0" supportSubquery="1" supportAdvancedDrill="1" xr:uid="{19A6E010-FAA1-4238-89A2-4BA187F98C88}">
  <cacheSource type="external" connectionId="2"/>
  <cacheFields count="4">
    <cacheField name="[Range].[BMI Category].[BMI Category]" caption="BMI Category" numFmtId="0" hierarchy="10" level="1">
      <sharedItems count="4">
        <s v="Normal"/>
        <s v="Obese"/>
        <s v="Overweight"/>
        <s v="Underweight"/>
      </sharedItems>
    </cacheField>
    <cacheField name="[Measures].[Sum of Age]" caption="Sum of Age" numFmtId="0" hierarchy="26" level="32767"/>
    <cacheField name="[Measures].[Sum of BMI Calculation]" caption="Sum of BMI Calculation" numFmtId="0" hierarchy="28" level="32767"/>
    <cacheField name="[Measures].[Count of Name]" caption="Count of Name" numFmtId="0" hierarchy="27" level="32767"/>
  </cacheFields>
  <cacheHierarchies count="31">
    <cacheHierarchy uniqueName="[Range].[Name]" caption="Name" attribute="1" defaultMemberUniqueName="[Range].[Name].[All]" allUniqueName="[Range].[Name].[All]" dimensionUniqueName="[Range]" displayFolder="" count="2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Height (in ft)]" caption="Height (in ft)" attribute="1" defaultMemberUniqueName="[Range].[Height (in ft)].[All]" allUniqueName="[Range].[Height (in ft)].[All]" dimensionUniqueName="[Range]" displayFolder="" count="0" memberValueDatatype="130" unbalanced="0"/>
    <cacheHierarchy uniqueName="[Range].[Weight(in kg)]" caption="Weight(in kg)" attribute="1" defaultMemberUniqueName="[Range].[Weight(in kg)].[All]" allUniqueName="[Range].[Weight(in kg)].[All]" dimensionUniqueName="[Range]" displayFolder="" count="0" memberValueDatatype="20" unbalanced="0"/>
    <cacheHierarchy uniqueName="[Range].[Physical Activity level]" caption="Physical Activity level" attribute="1" defaultMemberUniqueName="[Range].[Physical Activity level].[All]" allUniqueName="[Range].[Physical Activity level].[All]" dimensionUniqueName="[Range]" displayFolder="" count="0" memberValueDatatype="130" unbalanced="0"/>
    <cacheHierarchy uniqueName="[Range].[How often do you exercise ?]" caption="How often do you exercise ?" attribute="1" defaultMemberUniqueName="[Range].[How often do you exercise ?].[All]" allUniqueName="[Range].[How often do you exercise ?].[All]" dimensionUniqueName="[Range]" displayFolder="" count="0" memberValueDatatype="130" unbalanced="0"/>
    <cacheHierarchy uniqueName="[Range].[Diet type]" caption="Diet type" attribute="1" defaultMemberUniqueName="[Range].[Diet type].[All]" allUniqueName="[Range].[Diet type].[All]" dimensionUniqueName="[Range]" displayFolder="" count="0" memberValueDatatype="130" unbalanced="0"/>
    <cacheHierarchy uniqueName="[Range].[Height(in meters)]" caption="Height(in meters)" attribute="1" defaultMemberUniqueName="[Range].[Height(in meters)].[All]" allUniqueName="[Range].[Height(in meters)].[All]" dimensionUniqueName="[Range]" displayFolder="" count="0" memberValueDatatype="5" unbalanced="0"/>
    <cacheHierarchy uniqueName="[Range].[BMI Calculation]" caption="BMI Calculation" attribute="1" defaultMemberUniqueName="[Range].[BMI Calculation].[All]" allUniqueName="[Range].[BMI Calculation].[All]" dimensionUniqueName="[Range]" displayFolder="" count="0" memberValueDatatype="5" unbalanced="0"/>
    <cacheHierarchy uniqueName="[Range].[BMI Category]" caption="BMI Category" attribute="1" defaultMemberUniqueName="[Range].[BMI Category].[All]" allUniqueName="[Range].[BMI 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Height (in ft)]" caption="Height (in ft)" attribute="1" defaultMemberUniqueName="[Range 1].[Height (in ft)].[All]" allUniqueName="[Range 1].[Height (in ft)].[All]" dimensionUniqueName="[Range 1]" displayFolder="" count="0" memberValueDatatype="130" unbalanced="0"/>
    <cacheHierarchy uniqueName="[Range 1].[Weight(in kg)]" caption="Weight(in kg)" attribute="1" defaultMemberUniqueName="[Range 1].[Weight(in kg)].[All]" allUniqueName="[Range 1].[Weight(in kg)].[All]" dimensionUniqueName="[Range 1]" displayFolder="" count="0" memberValueDatatype="20" unbalanced="0"/>
    <cacheHierarchy uniqueName="[Range 1].[Physical Activity level]" caption="Physical Activity level" attribute="1" defaultMemberUniqueName="[Range 1].[Physical Activity level].[All]" allUniqueName="[Range 1].[Physical Activity level].[All]" dimensionUniqueName="[Range 1]" displayFolder="" count="0" memberValueDatatype="130" unbalanced="0"/>
    <cacheHierarchy uniqueName="[Range 1].[How often do you exercise ?]" caption="How often do you exercise ?" attribute="1" defaultMemberUniqueName="[Range 1].[How often do you exercise ?].[All]" allUniqueName="[Range 1].[How often do you exercise ?].[All]" dimensionUniqueName="[Range 1]" displayFolder="" count="0" memberValueDatatype="130" unbalanced="0"/>
    <cacheHierarchy uniqueName="[Range 1].[Diet type]" caption="Diet type" attribute="1" defaultMemberUniqueName="[Range 1].[Diet type].[All]" allUniqueName="[Range 1].[Diet type].[All]" dimensionUniqueName="[Range 1]" displayFolder="" count="0" memberValueDatatype="130" unbalanced="0"/>
    <cacheHierarchy uniqueName="[Range 1].[Height(in meters)]" caption="Height(in meters)" attribute="1" defaultMemberUniqueName="[Range 1].[Height(in meters)].[All]" allUniqueName="[Range 1].[Height(in meters)].[All]" dimensionUniqueName="[Range 1]" displayFolder="" count="0" memberValueDatatype="5" unbalanced="0"/>
    <cacheHierarchy uniqueName="[Range 1].[BMI]" caption="BMI" attribute="1" defaultMemberUniqueName="[Range 1].[BMI].[All]" allUniqueName="[Range 1].[BMI].[All]" dimensionUniqueName="[Range 1]" displayFolder="" count="0" memberValueDatatype="5" unbalanced="0"/>
    <cacheHierarchy uniqueName="[Range 1].[BMI Category]" caption="BMI Category" attribute="1" defaultMemberUniqueName="[Range 1].[BMI Category].[All]" allUniqueName="[Range 1].[BMI Category].[All]" dimensionUniqueName="[Range 1]" displayFolder="" count="0" memberValueDatatype="130" unbalanced="0"/>
    <cacheHierarchy uniqueName="[Range 1].[Age Group]" caption="Age Group" attribute="1" defaultMemberUniqueName="[Range 1].[Age Group].[All]" allUniqueName="[Range 1].[Age Group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MI Calculation]" caption="Sum of BMI Calculation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Diet type]" caption="Count of Diet typ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BMI]" caption="Sum of BMI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C6760-605C-4030-8CC7-808885CB73C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15:O120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13" name="[Range 1].[Gender].[All]" cap="All"/>
  </pageFields>
  <dataFields count="1">
    <dataField name="Sum of BMI" fld="1" baseField="0" baseItem="0"/>
  </dataFields>
  <formats count="7">
    <format dxfId="16">
      <pivotArea outline="0" collapsedLevelsAreSubtotals="1" fieldPosition="0"/>
    </format>
    <format dxfId="15">
      <pivotArea dataOnly="0" labelOnly="1" outline="0" axis="axisValues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field="2" type="button" dataOnly="0" labelOnly="1" outline="0" axis="axisPage" fieldPosition="0"/>
    </format>
    <format dxfId="10">
      <pivotArea dataOnly="0" labelOnly="1" outline="0" fieldPosition="0">
        <references count="1">
          <reference field="2" count="0"/>
        </references>
      </pivotArea>
    </format>
  </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le001 (Page 1-2)!$A$1:$L$108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5F778-7936-4756-86CA-9A5B68F4E0EF}" name="PivotTable1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I113:L118" firstHeaderRow="0" firstDataRow="1" firstDataCol="1"/>
  <pivotFields count="4"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ge" fld="1" baseField="0" baseItem="0"/>
    <dataField name="Sum of BMI Calculation" fld="2" baseField="0" baseItem="0"/>
    <dataField name="Count of Name" fld="3" subtotal="count" baseField="0" baseItem="0"/>
  </dataFields>
  <formats count="6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le001 (Page 1-2)!$A$1:$K$10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541209-9BAB-43CD-8FE5-531E8CFCD46C}" name="Table1" displayName="Table1" ref="A113:B117" totalsRowShown="0" headerRowDxfId="9" dataDxfId="7" headerRowBorderDxfId="8" tableBorderDxfId="6" totalsRowBorderDxfId="5">
  <autoFilter ref="A113:B117" xr:uid="{A4541209-9BAB-43CD-8FE5-531E8CFCD46C}"/>
  <sortState xmlns:xlrd2="http://schemas.microsoft.com/office/spreadsheetml/2017/richdata2" ref="A114:B117">
    <sortCondition ref="A113:A117"/>
  </sortState>
  <tableColumns count="2">
    <tableColumn id="1" xr3:uid="{E7788929-97E6-4FF4-886D-711D26C8D973}" name="Category" dataDxfId="4"/>
    <tableColumn id="2" xr3:uid="{1190BF1E-D9B6-4FAC-99A9-994B130727C7}" name="Coun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1599-A585-43F9-A496-87FC0E053CD6}">
  <dimension ref="A1:P332"/>
  <sheetViews>
    <sheetView tabSelected="1" zoomScale="66" zoomScaleNormal="88" workbookViewId="0">
      <selection activeCell="Y1" sqref="Y1"/>
    </sheetView>
  </sheetViews>
  <sheetFormatPr defaultRowHeight="15.6" x14ac:dyDescent="0.3"/>
  <cols>
    <col min="1" max="1" width="25.33203125" style="6" customWidth="1"/>
    <col min="2" max="2" width="23.21875" style="7" customWidth="1"/>
    <col min="3" max="3" width="18.5546875" style="6" customWidth="1"/>
    <col min="4" max="4" width="14.21875" style="7" customWidth="1"/>
    <col min="5" max="5" width="15.88671875" style="7" customWidth="1"/>
    <col min="6" max="6" width="16.21875" style="6" customWidth="1"/>
    <col min="7" max="7" width="21.33203125" style="6" bestFit="1" customWidth="1"/>
    <col min="8" max="8" width="19.21875" style="6" customWidth="1"/>
    <col min="9" max="9" width="14.33203125" style="6" customWidth="1"/>
    <col min="10" max="10" width="10.6640625" style="9" bestFit="1" customWidth="1"/>
    <col min="11" max="11" width="20.88671875" style="8" bestFit="1" customWidth="1"/>
    <col min="12" max="12" width="13.88671875" style="8" bestFit="1" customWidth="1"/>
    <col min="13" max="13" width="8.88671875" style="8"/>
    <col min="14" max="14" width="14.5546875" style="8" bestFit="1" customWidth="1"/>
    <col min="15" max="15" width="11.77734375" style="8" bestFit="1" customWidth="1"/>
    <col min="16" max="16384" width="8.88671875" style="8"/>
  </cols>
  <sheetData>
    <row r="1" spans="1:12" x14ac:dyDescent="0.3">
      <c r="A1" s="33" t="s">
        <v>142</v>
      </c>
      <c r="B1" s="34" t="s">
        <v>139</v>
      </c>
      <c r="C1" s="33" t="s">
        <v>0</v>
      </c>
      <c r="D1" s="34" t="s">
        <v>140</v>
      </c>
      <c r="E1" s="34" t="s">
        <v>143</v>
      </c>
      <c r="F1" s="33" t="s">
        <v>1</v>
      </c>
      <c r="G1" s="33" t="s">
        <v>2</v>
      </c>
      <c r="H1" s="33" t="s">
        <v>3</v>
      </c>
      <c r="I1" s="35" t="s">
        <v>144</v>
      </c>
      <c r="J1" s="36" t="s">
        <v>163</v>
      </c>
      <c r="K1" s="35" t="s">
        <v>146</v>
      </c>
      <c r="L1" s="35" t="s">
        <v>172</v>
      </c>
    </row>
    <row r="2" spans="1:12" x14ac:dyDescent="0.3">
      <c r="A2" s="15" t="s">
        <v>79</v>
      </c>
      <c r="B2" s="14">
        <v>78</v>
      </c>
      <c r="C2" s="15" t="s">
        <v>36</v>
      </c>
      <c r="D2" s="28">
        <v>5.9</v>
      </c>
      <c r="E2" s="14">
        <v>75</v>
      </c>
      <c r="F2" s="15" t="s">
        <v>12</v>
      </c>
      <c r="G2" s="15" t="s">
        <v>26</v>
      </c>
      <c r="H2" s="15" t="s">
        <v>14</v>
      </c>
      <c r="I2" s="15">
        <f t="shared" ref="I2:I65" si="0">D2*0.3048</f>
        <v>1.7983200000000001</v>
      </c>
      <c r="J2" s="29">
        <f>ROUND(E2/(I2^2), 1)</f>
        <v>23.2</v>
      </c>
      <c r="K2" s="30" t="str">
        <f>IF(J2="","",IF(J2&lt;18.5,"Underweight",IF(J2&lt;25,"Normal",IF(J2&lt;30,"Overweight","Obese"))))</f>
        <v>Normal</v>
      </c>
      <c r="L2" s="30" t="str">
        <f>IF(B2&lt;=20,"0–20",IF(B2&lt;=40,"21–40",IF(B2&lt;=60,"41–60","61+")))</f>
        <v>61+</v>
      </c>
    </row>
    <row r="3" spans="1:12" x14ac:dyDescent="0.3">
      <c r="A3" s="15" t="s">
        <v>141</v>
      </c>
      <c r="B3" s="14">
        <v>57</v>
      </c>
      <c r="C3" s="15" t="s">
        <v>5</v>
      </c>
      <c r="D3" s="14" t="s">
        <v>11</v>
      </c>
      <c r="E3" s="14">
        <v>78</v>
      </c>
      <c r="F3" s="15" t="s">
        <v>7</v>
      </c>
      <c r="G3" s="15" t="s">
        <v>13</v>
      </c>
      <c r="H3" s="15" t="s">
        <v>20</v>
      </c>
      <c r="I3" s="15">
        <f t="shared" si="0"/>
        <v>1.8288000000000002</v>
      </c>
      <c r="J3" s="29">
        <f t="shared" ref="J3:J66" si="1">ROUND(E3/(I3^2), 1)</f>
        <v>23.3</v>
      </c>
      <c r="K3" s="30" t="str">
        <f>IF(J3="","",IF(J3&lt;18.5,"Underweight",IF(J3&lt;25,"Normal",IF(J3&lt;30,"Overweight","Obese"))))</f>
        <v>Normal</v>
      </c>
      <c r="L3" s="30" t="str">
        <f t="shared" ref="L3:L66" si="2">IF(B3&lt;=20,"0–20",IF(B3&lt;=40,"21–40",IF(B3&lt;=60,"41–60","61+")))</f>
        <v>41–60</v>
      </c>
    </row>
    <row r="4" spans="1:12" x14ac:dyDescent="0.3">
      <c r="A4" s="15" t="s">
        <v>80</v>
      </c>
      <c r="B4" s="14">
        <v>69</v>
      </c>
      <c r="C4" s="15" t="s">
        <v>5</v>
      </c>
      <c r="D4" s="28">
        <v>5.5</v>
      </c>
      <c r="E4" s="14">
        <v>80</v>
      </c>
      <c r="F4" s="15" t="s">
        <v>12</v>
      </c>
      <c r="G4" s="15" t="s">
        <v>26</v>
      </c>
      <c r="H4" s="15" t="s">
        <v>14</v>
      </c>
      <c r="I4" s="15">
        <f t="shared" si="0"/>
        <v>1.6764000000000001</v>
      </c>
      <c r="J4" s="37">
        <f t="shared" si="1"/>
        <v>28.5</v>
      </c>
      <c r="K4" s="30" t="str">
        <f t="shared" ref="K4:K66" si="3">IF(J4="","",IF(J4&lt;18.5,"Underweight",IF(J4&lt;25,"Normal",IF(J4&lt;30,"Overweight","Obese"))))</f>
        <v>Overweight</v>
      </c>
      <c r="L4" s="30" t="str">
        <f t="shared" si="2"/>
        <v>61+</v>
      </c>
    </row>
    <row r="5" spans="1:12" x14ac:dyDescent="0.3">
      <c r="A5" s="15" t="s">
        <v>82</v>
      </c>
      <c r="B5" s="14">
        <v>46</v>
      </c>
      <c r="C5" s="15" t="s">
        <v>36</v>
      </c>
      <c r="D5" s="28">
        <v>6</v>
      </c>
      <c r="E5" s="14">
        <v>80</v>
      </c>
      <c r="F5" s="15" t="s">
        <v>12</v>
      </c>
      <c r="G5" s="15" t="s">
        <v>26</v>
      </c>
      <c r="H5" s="15" t="s">
        <v>20</v>
      </c>
      <c r="I5" s="15">
        <f t="shared" si="0"/>
        <v>1.8288000000000002</v>
      </c>
      <c r="J5" s="29">
        <f t="shared" si="1"/>
        <v>23.9</v>
      </c>
      <c r="K5" s="30" t="str">
        <f t="shared" si="3"/>
        <v>Normal</v>
      </c>
      <c r="L5" s="30" t="str">
        <f t="shared" si="2"/>
        <v>41–60</v>
      </c>
    </row>
    <row r="6" spans="1:12" x14ac:dyDescent="0.3">
      <c r="A6" s="15" t="s">
        <v>109</v>
      </c>
      <c r="B6" s="14">
        <v>21</v>
      </c>
      <c r="C6" s="15" t="s">
        <v>36</v>
      </c>
      <c r="D6" s="28">
        <v>5.6</v>
      </c>
      <c r="E6" s="14">
        <v>70</v>
      </c>
      <c r="F6" s="15" t="s">
        <v>12</v>
      </c>
      <c r="G6" s="15" t="s">
        <v>26</v>
      </c>
      <c r="H6" s="15" t="s">
        <v>20</v>
      </c>
      <c r="I6" s="15">
        <f t="shared" si="0"/>
        <v>1.70688</v>
      </c>
      <c r="J6" s="29">
        <f t="shared" si="1"/>
        <v>24</v>
      </c>
      <c r="K6" s="30" t="str">
        <f t="shared" si="3"/>
        <v>Normal</v>
      </c>
      <c r="L6" s="30" t="str">
        <f t="shared" si="2"/>
        <v>21–40</v>
      </c>
    </row>
    <row r="7" spans="1:12" x14ac:dyDescent="0.3">
      <c r="A7" s="15" t="s">
        <v>122</v>
      </c>
      <c r="B7" s="14">
        <v>20</v>
      </c>
      <c r="C7" s="15" t="s">
        <v>5</v>
      </c>
      <c r="D7" s="14">
        <v>5.2</v>
      </c>
      <c r="E7" s="14">
        <v>67</v>
      </c>
      <c r="F7" s="15" t="s">
        <v>12</v>
      </c>
      <c r="G7" s="15" t="s">
        <v>26</v>
      </c>
      <c r="H7" s="15" t="s">
        <v>9</v>
      </c>
      <c r="I7" s="15">
        <f t="shared" si="0"/>
        <v>1.5849600000000001</v>
      </c>
      <c r="J7" s="37">
        <f t="shared" si="1"/>
        <v>26.7</v>
      </c>
      <c r="K7" s="30" t="str">
        <f t="shared" si="3"/>
        <v>Overweight</v>
      </c>
      <c r="L7" s="30" t="str">
        <f t="shared" si="2"/>
        <v>0–20</v>
      </c>
    </row>
    <row r="8" spans="1:12" x14ac:dyDescent="0.3">
      <c r="A8" s="15" t="s">
        <v>97</v>
      </c>
      <c r="B8" s="14">
        <v>18</v>
      </c>
      <c r="C8" s="15" t="s">
        <v>5</v>
      </c>
      <c r="D8" s="14">
        <v>6</v>
      </c>
      <c r="E8" s="14">
        <v>37</v>
      </c>
      <c r="F8" s="15" t="s">
        <v>12</v>
      </c>
      <c r="G8" s="15" t="s">
        <v>26</v>
      </c>
      <c r="H8" s="15" t="s">
        <v>9</v>
      </c>
      <c r="I8" s="15">
        <f t="shared" si="0"/>
        <v>1.8288000000000002</v>
      </c>
      <c r="J8" s="29">
        <f t="shared" si="1"/>
        <v>11.1</v>
      </c>
      <c r="K8" s="30" t="str">
        <f t="shared" si="3"/>
        <v>Underweight</v>
      </c>
      <c r="L8" s="30" t="str">
        <f t="shared" si="2"/>
        <v>0–20</v>
      </c>
    </row>
    <row r="9" spans="1:12" x14ac:dyDescent="0.3">
      <c r="A9" s="15" t="s">
        <v>64</v>
      </c>
      <c r="B9" s="14">
        <v>19</v>
      </c>
      <c r="C9" s="15" t="s">
        <v>5</v>
      </c>
      <c r="D9" s="14">
        <v>5.4</v>
      </c>
      <c r="E9" s="14">
        <v>50</v>
      </c>
      <c r="F9" s="15" t="s">
        <v>12</v>
      </c>
      <c r="G9" s="15" t="s">
        <v>26</v>
      </c>
      <c r="H9" s="15" t="s">
        <v>9</v>
      </c>
      <c r="I9" s="15">
        <f t="shared" si="0"/>
        <v>1.6459200000000003</v>
      </c>
      <c r="J9" s="29">
        <f t="shared" si="1"/>
        <v>18.5</v>
      </c>
      <c r="K9" s="30" t="str">
        <f t="shared" si="3"/>
        <v>Normal</v>
      </c>
      <c r="L9" s="30" t="str">
        <f t="shared" si="2"/>
        <v>0–20</v>
      </c>
    </row>
    <row r="10" spans="1:12" x14ac:dyDescent="0.3">
      <c r="A10" s="15" t="s">
        <v>101</v>
      </c>
      <c r="B10" s="14">
        <v>18</v>
      </c>
      <c r="C10" s="15" t="s">
        <v>5</v>
      </c>
      <c r="D10" s="28">
        <v>5.2</v>
      </c>
      <c r="E10" s="31">
        <v>50</v>
      </c>
      <c r="F10" s="15" t="s">
        <v>25</v>
      </c>
      <c r="G10" s="15" t="s">
        <v>26</v>
      </c>
      <c r="H10" s="15" t="s">
        <v>14</v>
      </c>
      <c r="I10" s="15">
        <f t="shared" si="0"/>
        <v>1.5849600000000001</v>
      </c>
      <c r="J10" s="29">
        <f t="shared" si="1"/>
        <v>19.899999999999999</v>
      </c>
      <c r="K10" s="30" t="str">
        <f t="shared" si="3"/>
        <v>Normal</v>
      </c>
      <c r="L10" s="30" t="str">
        <f t="shared" si="2"/>
        <v>0–20</v>
      </c>
    </row>
    <row r="11" spans="1:12" x14ac:dyDescent="0.3">
      <c r="A11" s="15" t="s">
        <v>114</v>
      </c>
      <c r="B11" s="14">
        <v>19</v>
      </c>
      <c r="C11" s="15" t="s">
        <v>5</v>
      </c>
      <c r="D11" s="14">
        <v>5.2</v>
      </c>
      <c r="E11" s="14">
        <v>60</v>
      </c>
      <c r="F11" s="15" t="s">
        <v>12</v>
      </c>
      <c r="G11" s="15" t="s">
        <v>8</v>
      </c>
      <c r="H11" s="15" t="s">
        <v>9</v>
      </c>
      <c r="I11" s="15">
        <f t="shared" si="0"/>
        <v>1.5849600000000001</v>
      </c>
      <c r="J11" s="29">
        <f t="shared" si="1"/>
        <v>23.9</v>
      </c>
      <c r="K11" s="30" t="str">
        <f t="shared" si="3"/>
        <v>Normal</v>
      </c>
      <c r="L11" s="30" t="str">
        <f t="shared" si="2"/>
        <v>0–20</v>
      </c>
    </row>
    <row r="12" spans="1:12" x14ac:dyDescent="0.3">
      <c r="A12" s="15" t="s">
        <v>48</v>
      </c>
      <c r="B12" s="14">
        <v>23</v>
      </c>
      <c r="C12" s="15" t="s">
        <v>36</v>
      </c>
      <c r="D12" s="28">
        <v>5.5</v>
      </c>
      <c r="E12" s="14">
        <v>60</v>
      </c>
      <c r="F12" s="15" t="s">
        <v>12</v>
      </c>
      <c r="G12" s="15" t="s">
        <v>13</v>
      </c>
      <c r="H12" s="15" t="s">
        <v>9</v>
      </c>
      <c r="I12" s="15">
        <f t="shared" si="0"/>
        <v>1.6764000000000001</v>
      </c>
      <c r="J12" s="29">
        <f t="shared" si="1"/>
        <v>21.3</v>
      </c>
      <c r="K12" s="30" t="str">
        <f t="shared" si="3"/>
        <v>Normal</v>
      </c>
      <c r="L12" s="30" t="str">
        <f t="shared" si="2"/>
        <v>21–40</v>
      </c>
    </row>
    <row r="13" spans="1:12" x14ac:dyDescent="0.3">
      <c r="A13" s="15" t="s">
        <v>78</v>
      </c>
      <c r="B13" s="14">
        <v>60</v>
      </c>
      <c r="C13" s="15" t="s">
        <v>5</v>
      </c>
      <c r="D13" s="28">
        <v>5</v>
      </c>
      <c r="E13" s="14">
        <v>65</v>
      </c>
      <c r="F13" s="15" t="s">
        <v>12</v>
      </c>
      <c r="G13" s="15" t="s">
        <v>26</v>
      </c>
      <c r="H13" s="15" t="s">
        <v>14</v>
      </c>
      <c r="I13" s="15">
        <f t="shared" si="0"/>
        <v>1.524</v>
      </c>
      <c r="J13" s="37">
        <f t="shared" si="1"/>
        <v>28</v>
      </c>
      <c r="K13" s="30" t="str">
        <f t="shared" si="3"/>
        <v>Overweight</v>
      </c>
      <c r="L13" s="30" t="str">
        <f t="shared" si="2"/>
        <v>41–60</v>
      </c>
    </row>
    <row r="14" spans="1:12" x14ac:dyDescent="0.3">
      <c r="A14" s="15" t="s">
        <v>131</v>
      </c>
      <c r="B14" s="14">
        <v>24</v>
      </c>
      <c r="C14" s="15" t="s">
        <v>36</v>
      </c>
      <c r="D14" s="28">
        <v>6</v>
      </c>
      <c r="E14" s="14">
        <v>74</v>
      </c>
      <c r="F14" s="15" t="s">
        <v>7</v>
      </c>
      <c r="G14" s="15" t="s">
        <v>26</v>
      </c>
      <c r="H14" s="15" t="s">
        <v>14</v>
      </c>
      <c r="I14" s="15">
        <f t="shared" si="0"/>
        <v>1.8288000000000002</v>
      </c>
      <c r="J14" s="29">
        <f t="shared" si="1"/>
        <v>22.1</v>
      </c>
      <c r="K14" s="30" t="str">
        <f t="shared" si="3"/>
        <v>Normal</v>
      </c>
      <c r="L14" s="30" t="str">
        <f t="shared" si="2"/>
        <v>21–40</v>
      </c>
    </row>
    <row r="15" spans="1:12" x14ac:dyDescent="0.3">
      <c r="A15" s="15" t="s">
        <v>98</v>
      </c>
      <c r="B15" s="14">
        <v>18</v>
      </c>
      <c r="C15" s="15" t="s">
        <v>5</v>
      </c>
      <c r="D15" s="14">
        <v>5</v>
      </c>
      <c r="E15" s="14">
        <v>56</v>
      </c>
      <c r="F15" s="15" t="s">
        <v>12</v>
      </c>
      <c r="G15" s="15" t="s">
        <v>8</v>
      </c>
      <c r="H15" s="15" t="s">
        <v>9</v>
      </c>
      <c r="I15" s="15">
        <f t="shared" si="0"/>
        <v>1.524</v>
      </c>
      <c r="J15" s="29">
        <f t="shared" si="1"/>
        <v>24.1</v>
      </c>
      <c r="K15" s="30" t="str">
        <f t="shared" si="3"/>
        <v>Normal</v>
      </c>
      <c r="L15" s="30" t="str">
        <f t="shared" si="2"/>
        <v>0–20</v>
      </c>
    </row>
    <row r="16" spans="1:12" x14ac:dyDescent="0.3">
      <c r="A16" s="15" t="s">
        <v>81</v>
      </c>
      <c r="B16" s="14">
        <v>19</v>
      </c>
      <c r="C16" s="15" t="s">
        <v>5</v>
      </c>
      <c r="D16" s="28">
        <v>5.5</v>
      </c>
      <c r="E16" s="14">
        <v>55</v>
      </c>
      <c r="F16" s="15" t="s">
        <v>12</v>
      </c>
      <c r="G16" s="15" t="s">
        <v>8</v>
      </c>
      <c r="H16" s="15" t="s">
        <v>9</v>
      </c>
      <c r="I16" s="15">
        <f t="shared" si="0"/>
        <v>1.6764000000000001</v>
      </c>
      <c r="J16" s="29">
        <f t="shared" si="1"/>
        <v>19.600000000000001</v>
      </c>
      <c r="K16" s="30" t="str">
        <f t="shared" si="3"/>
        <v>Normal</v>
      </c>
      <c r="L16" s="30" t="str">
        <f t="shared" si="2"/>
        <v>0–20</v>
      </c>
    </row>
    <row r="17" spans="1:12" x14ac:dyDescent="0.3">
      <c r="A17" s="15" t="s">
        <v>19</v>
      </c>
      <c r="B17" s="14">
        <v>19</v>
      </c>
      <c r="C17" s="15" t="s">
        <v>5</v>
      </c>
      <c r="D17" s="14">
        <v>5</v>
      </c>
      <c r="E17" s="14">
        <v>53</v>
      </c>
      <c r="F17" s="15" t="s">
        <v>12</v>
      </c>
      <c r="G17" s="15" t="s">
        <v>8</v>
      </c>
      <c r="H17" s="15" t="s">
        <v>20</v>
      </c>
      <c r="I17" s="15">
        <f t="shared" si="0"/>
        <v>1.524</v>
      </c>
      <c r="J17" s="29">
        <f t="shared" si="1"/>
        <v>22.8</v>
      </c>
      <c r="K17" s="30" t="str">
        <f t="shared" si="3"/>
        <v>Normal</v>
      </c>
      <c r="L17" s="30" t="str">
        <f t="shared" si="2"/>
        <v>0–20</v>
      </c>
    </row>
    <row r="18" spans="1:12" x14ac:dyDescent="0.3">
      <c r="A18" s="15" t="s">
        <v>23</v>
      </c>
      <c r="B18" s="14">
        <v>21</v>
      </c>
      <c r="C18" s="15" t="s">
        <v>5</v>
      </c>
      <c r="D18" s="28">
        <v>5.3</v>
      </c>
      <c r="E18" s="14">
        <v>53</v>
      </c>
      <c r="F18" s="15" t="s">
        <v>25</v>
      </c>
      <c r="G18" s="15" t="s">
        <v>26</v>
      </c>
      <c r="H18" s="15" t="s">
        <v>9</v>
      </c>
      <c r="I18" s="15">
        <f t="shared" si="0"/>
        <v>1.61544</v>
      </c>
      <c r="J18" s="29">
        <f t="shared" si="1"/>
        <v>20.3</v>
      </c>
      <c r="K18" s="30" t="str">
        <f t="shared" si="3"/>
        <v>Normal</v>
      </c>
      <c r="L18" s="30" t="str">
        <f t="shared" si="2"/>
        <v>21–40</v>
      </c>
    </row>
    <row r="19" spans="1:12" x14ac:dyDescent="0.3">
      <c r="A19" s="15" t="s">
        <v>63</v>
      </c>
      <c r="B19" s="14">
        <v>40</v>
      </c>
      <c r="C19" s="15" t="s">
        <v>36</v>
      </c>
      <c r="D19" s="14">
        <v>6</v>
      </c>
      <c r="E19" s="14">
        <v>60</v>
      </c>
      <c r="F19" s="15" t="s">
        <v>12</v>
      </c>
      <c r="G19" s="15" t="s">
        <v>8</v>
      </c>
      <c r="H19" s="15" t="s">
        <v>9</v>
      </c>
      <c r="I19" s="15">
        <f t="shared" si="0"/>
        <v>1.8288000000000002</v>
      </c>
      <c r="J19" s="29">
        <f t="shared" si="1"/>
        <v>17.899999999999999</v>
      </c>
      <c r="K19" s="30" t="str">
        <f t="shared" si="3"/>
        <v>Underweight</v>
      </c>
      <c r="L19" s="30" t="str">
        <f t="shared" si="2"/>
        <v>21–40</v>
      </c>
    </row>
    <row r="20" spans="1:12" x14ac:dyDescent="0.3">
      <c r="A20" s="15" t="s">
        <v>95</v>
      </c>
      <c r="B20" s="14">
        <v>20</v>
      </c>
      <c r="C20" s="15" t="s">
        <v>5</v>
      </c>
      <c r="D20" s="28">
        <v>5.4</v>
      </c>
      <c r="E20" s="14">
        <v>44</v>
      </c>
      <c r="F20" s="15" t="s">
        <v>12</v>
      </c>
      <c r="G20" s="15" t="s">
        <v>22</v>
      </c>
      <c r="H20" s="15" t="s">
        <v>9</v>
      </c>
      <c r="I20" s="15">
        <f t="shared" si="0"/>
        <v>1.6459200000000003</v>
      </c>
      <c r="J20" s="29">
        <f t="shared" si="1"/>
        <v>16.2</v>
      </c>
      <c r="K20" s="30" t="str">
        <f t="shared" si="3"/>
        <v>Underweight</v>
      </c>
      <c r="L20" s="30" t="str">
        <f t="shared" si="2"/>
        <v>0–20</v>
      </c>
    </row>
    <row r="21" spans="1:12" x14ac:dyDescent="0.3">
      <c r="A21" s="15" t="s">
        <v>102</v>
      </c>
      <c r="B21" s="14">
        <v>21</v>
      </c>
      <c r="C21" s="15" t="s">
        <v>5</v>
      </c>
      <c r="D21" s="28">
        <v>5</v>
      </c>
      <c r="E21" s="14">
        <v>52</v>
      </c>
      <c r="F21" s="15" t="s">
        <v>12</v>
      </c>
      <c r="G21" s="15" t="s">
        <v>8</v>
      </c>
      <c r="H21" s="15" t="s">
        <v>9</v>
      </c>
      <c r="I21" s="15">
        <f t="shared" si="0"/>
        <v>1.524</v>
      </c>
      <c r="J21" s="29">
        <f t="shared" si="1"/>
        <v>22.4</v>
      </c>
      <c r="K21" s="30" t="str">
        <f t="shared" si="3"/>
        <v>Normal</v>
      </c>
      <c r="L21" s="30" t="str">
        <f t="shared" si="2"/>
        <v>21–40</v>
      </c>
    </row>
    <row r="22" spans="1:12" x14ac:dyDescent="0.3">
      <c r="A22" s="15" t="s">
        <v>119</v>
      </c>
      <c r="B22" s="14">
        <v>25</v>
      </c>
      <c r="C22" s="15" t="s">
        <v>36</v>
      </c>
      <c r="D22" s="14">
        <v>5.6</v>
      </c>
      <c r="E22" s="14">
        <v>73</v>
      </c>
      <c r="F22" s="15" t="s">
        <v>12</v>
      </c>
      <c r="G22" s="15" t="s">
        <v>8</v>
      </c>
      <c r="H22" s="15" t="s">
        <v>9</v>
      </c>
      <c r="I22" s="15">
        <f t="shared" si="0"/>
        <v>1.70688</v>
      </c>
      <c r="J22" s="37">
        <f t="shared" si="1"/>
        <v>25.1</v>
      </c>
      <c r="K22" s="30" t="str">
        <f t="shared" si="3"/>
        <v>Overweight</v>
      </c>
      <c r="L22" s="30" t="str">
        <f t="shared" si="2"/>
        <v>21–40</v>
      </c>
    </row>
    <row r="23" spans="1:12" x14ac:dyDescent="0.3">
      <c r="A23" s="15" t="s">
        <v>41</v>
      </c>
      <c r="B23" s="14">
        <v>26</v>
      </c>
      <c r="C23" s="15" t="s">
        <v>36</v>
      </c>
      <c r="D23" s="28">
        <v>5.6</v>
      </c>
      <c r="E23" s="14">
        <v>73</v>
      </c>
      <c r="F23" s="15" t="s">
        <v>12</v>
      </c>
      <c r="G23" s="15" t="s">
        <v>26</v>
      </c>
      <c r="H23" s="15" t="s">
        <v>9</v>
      </c>
      <c r="I23" s="15">
        <f t="shared" si="0"/>
        <v>1.70688</v>
      </c>
      <c r="J23" s="37">
        <f t="shared" si="1"/>
        <v>25.1</v>
      </c>
      <c r="K23" s="30" t="str">
        <f t="shared" si="3"/>
        <v>Overweight</v>
      </c>
      <c r="L23" s="30" t="str">
        <f t="shared" si="2"/>
        <v>21–40</v>
      </c>
    </row>
    <row r="24" spans="1:12" x14ac:dyDescent="0.3">
      <c r="A24" s="15" t="s">
        <v>61</v>
      </c>
      <c r="B24" s="14">
        <v>15</v>
      </c>
      <c r="C24" s="15" t="s">
        <v>5</v>
      </c>
      <c r="D24" s="28">
        <v>4</v>
      </c>
      <c r="E24" s="14">
        <v>42</v>
      </c>
      <c r="F24" s="15" t="s">
        <v>25</v>
      </c>
      <c r="G24" s="15" t="s">
        <v>26</v>
      </c>
      <c r="H24" s="15" t="s">
        <v>9</v>
      </c>
      <c r="I24" s="15">
        <f t="shared" si="0"/>
        <v>1.2192000000000001</v>
      </c>
      <c r="J24" s="37">
        <f t="shared" si="1"/>
        <v>28.3</v>
      </c>
      <c r="K24" s="30" t="str">
        <f t="shared" si="3"/>
        <v>Overweight</v>
      </c>
      <c r="L24" s="30" t="str">
        <f t="shared" si="2"/>
        <v>0–20</v>
      </c>
    </row>
    <row r="25" spans="1:12" x14ac:dyDescent="0.3">
      <c r="A25" s="15" t="s">
        <v>27</v>
      </c>
      <c r="B25" s="14">
        <v>20</v>
      </c>
      <c r="C25" s="15" t="s">
        <v>5</v>
      </c>
      <c r="D25" s="28">
        <v>5</v>
      </c>
      <c r="E25" s="14">
        <v>42</v>
      </c>
      <c r="F25" s="15" t="s">
        <v>12</v>
      </c>
      <c r="G25" s="15" t="s">
        <v>8</v>
      </c>
      <c r="H25" s="15" t="s">
        <v>9</v>
      </c>
      <c r="I25" s="15">
        <f t="shared" si="0"/>
        <v>1.524</v>
      </c>
      <c r="J25" s="29">
        <f t="shared" si="1"/>
        <v>18.100000000000001</v>
      </c>
      <c r="K25" s="30" t="str">
        <f t="shared" si="3"/>
        <v>Underweight</v>
      </c>
      <c r="L25" s="30" t="str">
        <f t="shared" si="2"/>
        <v>0–20</v>
      </c>
    </row>
    <row r="26" spans="1:12" x14ac:dyDescent="0.3">
      <c r="A26" s="15" t="s">
        <v>55</v>
      </c>
      <c r="B26" s="14">
        <v>19</v>
      </c>
      <c r="C26" s="15" t="s">
        <v>5</v>
      </c>
      <c r="D26" s="28">
        <v>4.7</v>
      </c>
      <c r="E26" s="14">
        <v>45</v>
      </c>
      <c r="F26" s="15" t="s">
        <v>12</v>
      </c>
      <c r="G26" s="15" t="s">
        <v>26</v>
      </c>
      <c r="H26" s="15" t="s">
        <v>9</v>
      </c>
      <c r="I26" s="15">
        <f t="shared" si="0"/>
        <v>1.4325600000000001</v>
      </c>
      <c r="J26" s="29">
        <f t="shared" si="1"/>
        <v>21.9</v>
      </c>
      <c r="K26" s="30" t="str">
        <f t="shared" si="3"/>
        <v>Normal</v>
      </c>
      <c r="L26" s="30" t="str">
        <f t="shared" si="2"/>
        <v>0–20</v>
      </c>
    </row>
    <row r="27" spans="1:12" x14ac:dyDescent="0.3">
      <c r="A27" s="15" t="s">
        <v>21</v>
      </c>
      <c r="B27" s="14">
        <v>20</v>
      </c>
      <c r="C27" s="15" t="s">
        <v>5</v>
      </c>
      <c r="D27" s="14">
        <v>5.8</v>
      </c>
      <c r="E27" s="14">
        <v>59</v>
      </c>
      <c r="F27" s="15" t="s">
        <v>7</v>
      </c>
      <c r="G27" s="15" t="s">
        <v>22</v>
      </c>
      <c r="H27" s="15" t="s">
        <v>9</v>
      </c>
      <c r="I27" s="15">
        <f t="shared" si="0"/>
        <v>1.7678400000000001</v>
      </c>
      <c r="J27" s="29">
        <f t="shared" si="1"/>
        <v>18.899999999999999</v>
      </c>
      <c r="K27" s="30" t="str">
        <f t="shared" si="3"/>
        <v>Normal</v>
      </c>
      <c r="L27" s="30" t="str">
        <f t="shared" si="2"/>
        <v>0–20</v>
      </c>
    </row>
    <row r="28" spans="1:12" x14ac:dyDescent="0.3">
      <c r="A28" s="15" t="s">
        <v>129</v>
      </c>
      <c r="B28" s="14">
        <v>30</v>
      </c>
      <c r="C28" s="15" t="s">
        <v>5</v>
      </c>
      <c r="D28" s="28">
        <v>6</v>
      </c>
      <c r="E28" s="14">
        <v>46</v>
      </c>
      <c r="F28" s="15" t="s">
        <v>12</v>
      </c>
      <c r="G28" s="15" t="s">
        <v>13</v>
      </c>
      <c r="H28" s="15" t="s">
        <v>20</v>
      </c>
      <c r="I28" s="15">
        <f t="shared" si="0"/>
        <v>1.8288000000000002</v>
      </c>
      <c r="J28" s="29">
        <f t="shared" si="1"/>
        <v>13.8</v>
      </c>
      <c r="K28" s="30" t="str">
        <f t="shared" si="3"/>
        <v>Underweight</v>
      </c>
      <c r="L28" s="30" t="str">
        <f t="shared" si="2"/>
        <v>21–40</v>
      </c>
    </row>
    <row r="29" spans="1:12" x14ac:dyDescent="0.3">
      <c r="A29" s="15" t="s">
        <v>128</v>
      </c>
      <c r="B29" s="14">
        <v>28</v>
      </c>
      <c r="C29" s="15" t="s">
        <v>5</v>
      </c>
      <c r="D29" s="28">
        <v>6</v>
      </c>
      <c r="E29" s="14">
        <v>45</v>
      </c>
      <c r="F29" s="15" t="s">
        <v>12</v>
      </c>
      <c r="G29" s="15" t="s">
        <v>26</v>
      </c>
      <c r="H29" s="15" t="s">
        <v>9</v>
      </c>
      <c r="I29" s="15">
        <f t="shared" si="0"/>
        <v>1.8288000000000002</v>
      </c>
      <c r="J29" s="29">
        <f t="shared" si="1"/>
        <v>13.5</v>
      </c>
      <c r="K29" s="30" t="str">
        <f t="shared" si="3"/>
        <v>Underweight</v>
      </c>
      <c r="L29" s="30" t="str">
        <f t="shared" si="2"/>
        <v>21–40</v>
      </c>
    </row>
    <row r="30" spans="1:12" x14ac:dyDescent="0.3">
      <c r="A30" s="15" t="s">
        <v>31</v>
      </c>
      <c r="B30" s="14">
        <v>21</v>
      </c>
      <c r="C30" s="15" t="s">
        <v>5</v>
      </c>
      <c r="D30" s="28">
        <v>5.4</v>
      </c>
      <c r="E30" s="14">
        <v>50</v>
      </c>
      <c r="F30" s="15" t="s">
        <v>12</v>
      </c>
      <c r="G30" s="15" t="s">
        <v>8</v>
      </c>
      <c r="H30" s="15" t="s">
        <v>9</v>
      </c>
      <c r="I30" s="15">
        <f t="shared" si="0"/>
        <v>1.6459200000000003</v>
      </c>
      <c r="J30" s="29">
        <f t="shared" si="1"/>
        <v>18.5</v>
      </c>
      <c r="K30" s="30" t="str">
        <f t="shared" si="3"/>
        <v>Normal</v>
      </c>
      <c r="L30" s="30" t="str">
        <f t="shared" si="2"/>
        <v>21–40</v>
      </c>
    </row>
    <row r="31" spans="1:12" x14ac:dyDescent="0.3">
      <c r="A31" s="15" t="s">
        <v>17</v>
      </c>
      <c r="B31" s="14">
        <v>20</v>
      </c>
      <c r="C31" s="15" t="s">
        <v>5</v>
      </c>
      <c r="D31" s="28">
        <v>5.2</v>
      </c>
      <c r="E31" s="14">
        <v>42</v>
      </c>
      <c r="F31" s="15" t="s">
        <v>12</v>
      </c>
      <c r="G31" s="15" t="s">
        <v>8</v>
      </c>
      <c r="H31" s="15" t="s">
        <v>9</v>
      </c>
      <c r="I31" s="15">
        <f t="shared" si="0"/>
        <v>1.5849600000000001</v>
      </c>
      <c r="J31" s="29">
        <f t="shared" si="1"/>
        <v>16.7</v>
      </c>
      <c r="K31" s="30" t="str">
        <f t="shared" si="3"/>
        <v>Underweight</v>
      </c>
      <c r="L31" s="30" t="str">
        <f t="shared" si="2"/>
        <v>0–20</v>
      </c>
    </row>
    <row r="32" spans="1:12" x14ac:dyDescent="0.3">
      <c r="A32" s="15" t="s">
        <v>75</v>
      </c>
      <c r="B32" s="14">
        <v>45</v>
      </c>
      <c r="C32" s="15" t="s">
        <v>5</v>
      </c>
      <c r="D32" s="28">
        <v>6</v>
      </c>
      <c r="E32" s="14">
        <v>75</v>
      </c>
      <c r="F32" s="15" t="s">
        <v>12</v>
      </c>
      <c r="G32" s="15" t="s">
        <v>26</v>
      </c>
      <c r="H32" s="15" t="s">
        <v>20</v>
      </c>
      <c r="I32" s="15">
        <f t="shared" si="0"/>
        <v>1.8288000000000002</v>
      </c>
      <c r="J32" s="29">
        <f t="shared" si="1"/>
        <v>22.4</v>
      </c>
      <c r="K32" s="30" t="str">
        <f t="shared" si="3"/>
        <v>Normal</v>
      </c>
      <c r="L32" s="30" t="str">
        <f t="shared" si="2"/>
        <v>41–60</v>
      </c>
    </row>
    <row r="33" spans="1:12" x14ac:dyDescent="0.3">
      <c r="A33" s="15" t="s">
        <v>65</v>
      </c>
      <c r="B33" s="14">
        <v>21</v>
      </c>
      <c r="C33" s="15" t="s">
        <v>5</v>
      </c>
      <c r="D33" s="14">
        <v>5.4</v>
      </c>
      <c r="E33" s="14">
        <v>60</v>
      </c>
      <c r="F33" s="15" t="s">
        <v>7</v>
      </c>
      <c r="G33" s="15" t="s">
        <v>22</v>
      </c>
      <c r="H33" s="15" t="s">
        <v>14</v>
      </c>
      <c r="I33" s="15">
        <f t="shared" si="0"/>
        <v>1.6459200000000003</v>
      </c>
      <c r="J33" s="29">
        <f t="shared" si="1"/>
        <v>22.1</v>
      </c>
      <c r="K33" s="30" t="str">
        <f t="shared" si="3"/>
        <v>Normal</v>
      </c>
      <c r="L33" s="30" t="str">
        <f t="shared" si="2"/>
        <v>21–40</v>
      </c>
    </row>
    <row r="34" spans="1:12" x14ac:dyDescent="0.3">
      <c r="A34" s="15" t="s">
        <v>35</v>
      </c>
      <c r="B34" s="14">
        <v>20</v>
      </c>
      <c r="C34" s="15" t="s">
        <v>36</v>
      </c>
      <c r="D34" s="14">
        <v>5.6</v>
      </c>
      <c r="E34" s="14">
        <v>65</v>
      </c>
      <c r="F34" s="15" t="s">
        <v>12</v>
      </c>
      <c r="G34" s="15" t="s">
        <v>8</v>
      </c>
      <c r="H34" s="15" t="s">
        <v>9</v>
      </c>
      <c r="I34" s="15">
        <f t="shared" si="0"/>
        <v>1.70688</v>
      </c>
      <c r="J34" s="29">
        <f t="shared" si="1"/>
        <v>22.3</v>
      </c>
      <c r="K34" s="30" t="str">
        <f t="shared" si="3"/>
        <v>Normal</v>
      </c>
      <c r="L34" s="30" t="str">
        <f t="shared" si="2"/>
        <v>0–20</v>
      </c>
    </row>
    <row r="35" spans="1:12" x14ac:dyDescent="0.3">
      <c r="A35" s="15" t="s">
        <v>121</v>
      </c>
      <c r="B35" s="14">
        <v>18</v>
      </c>
      <c r="C35" s="15" t="s">
        <v>36</v>
      </c>
      <c r="D35" s="28">
        <v>5.9</v>
      </c>
      <c r="E35" s="14">
        <v>54</v>
      </c>
      <c r="F35" s="15" t="s">
        <v>12</v>
      </c>
      <c r="G35" s="15" t="s">
        <v>26</v>
      </c>
      <c r="H35" s="15" t="s">
        <v>9</v>
      </c>
      <c r="I35" s="15">
        <f t="shared" si="0"/>
        <v>1.7983200000000001</v>
      </c>
      <c r="J35" s="29">
        <f t="shared" si="1"/>
        <v>16.7</v>
      </c>
      <c r="K35" s="30" t="str">
        <f t="shared" si="3"/>
        <v>Underweight</v>
      </c>
      <c r="L35" s="30" t="str">
        <f t="shared" si="2"/>
        <v>0–20</v>
      </c>
    </row>
    <row r="36" spans="1:12" x14ac:dyDescent="0.3">
      <c r="A36" s="15" t="s">
        <v>92</v>
      </c>
      <c r="B36" s="14">
        <v>19</v>
      </c>
      <c r="C36" s="15" t="s">
        <v>5</v>
      </c>
      <c r="D36" s="14">
        <v>5</v>
      </c>
      <c r="E36" s="14">
        <v>80</v>
      </c>
      <c r="F36" s="15" t="s">
        <v>12</v>
      </c>
      <c r="G36" s="15" t="s">
        <v>8</v>
      </c>
      <c r="H36" s="15" t="s">
        <v>9</v>
      </c>
      <c r="I36" s="15">
        <f t="shared" si="0"/>
        <v>1.524</v>
      </c>
      <c r="J36" s="32">
        <f t="shared" si="1"/>
        <v>34.4</v>
      </c>
      <c r="K36" s="30" t="str">
        <f t="shared" si="3"/>
        <v>Obese</v>
      </c>
      <c r="L36" s="30" t="str">
        <f t="shared" si="2"/>
        <v>0–20</v>
      </c>
    </row>
    <row r="37" spans="1:12" x14ac:dyDescent="0.3">
      <c r="A37" s="15" t="s">
        <v>100</v>
      </c>
      <c r="B37" s="14">
        <v>19</v>
      </c>
      <c r="C37" s="15" t="s">
        <v>5</v>
      </c>
      <c r="D37" s="28">
        <v>4.9000000000000004</v>
      </c>
      <c r="E37" s="14">
        <v>56</v>
      </c>
      <c r="F37" s="15" t="s">
        <v>12</v>
      </c>
      <c r="G37" s="15" t="s">
        <v>8</v>
      </c>
      <c r="H37" s="15" t="s">
        <v>9</v>
      </c>
      <c r="I37" s="15">
        <f t="shared" si="0"/>
        <v>1.4935200000000002</v>
      </c>
      <c r="J37" s="37">
        <f t="shared" si="1"/>
        <v>25.1</v>
      </c>
      <c r="K37" s="30" t="str">
        <f t="shared" si="3"/>
        <v>Overweight</v>
      </c>
      <c r="L37" s="30" t="str">
        <f t="shared" si="2"/>
        <v>0–20</v>
      </c>
    </row>
    <row r="38" spans="1:12" x14ac:dyDescent="0.3">
      <c r="A38" s="15" t="s">
        <v>107</v>
      </c>
      <c r="B38" s="14">
        <v>19</v>
      </c>
      <c r="C38" s="15" t="s">
        <v>5</v>
      </c>
      <c r="D38" s="14">
        <v>5.2</v>
      </c>
      <c r="E38" s="14">
        <v>50</v>
      </c>
      <c r="F38" s="15" t="s">
        <v>12</v>
      </c>
      <c r="G38" s="15" t="s">
        <v>8</v>
      </c>
      <c r="H38" s="15" t="s">
        <v>9</v>
      </c>
      <c r="I38" s="15">
        <f t="shared" si="0"/>
        <v>1.5849600000000001</v>
      </c>
      <c r="J38" s="29">
        <f t="shared" si="1"/>
        <v>19.899999999999999</v>
      </c>
      <c r="K38" s="30" t="str">
        <f t="shared" si="3"/>
        <v>Normal</v>
      </c>
      <c r="L38" s="30" t="str">
        <f t="shared" si="2"/>
        <v>0–20</v>
      </c>
    </row>
    <row r="39" spans="1:12" x14ac:dyDescent="0.3">
      <c r="A39" s="15" t="s">
        <v>108</v>
      </c>
      <c r="B39" s="14">
        <v>20</v>
      </c>
      <c r="C39" s="15" t="s">
        <v>5</v>
      </c>
      <c r="D39" s="28">
        <v>5.7</v>
      </c>
      <c r="E39" s="14">
        <v>79</v>
      </c>
      <c r="F39" s="15" t="s">
        <v>7</v>
      </c>
      <c r="G39" s="15" t="s">
        <v>22</v>
      </c>
      <c r="H39" s="15" t="s">
        <v>14</v>
      </c>
      <c r="I39" s="15">
        <f t="shared" si="0"/>
        <v>1.7373600000000002</v>
      </c>
      <c r="J39" s="37">
        <f t="shared" si="1"/>
        <v>26.2</v>
      </c>
      <c r="K39" s="30" t="str">
        <f t="shared" si="3"/>
        <v>Overweight</v>
      </c>
      <c r="L39" s="30" t="str">
        <f t="shared" si="2"/>
        <v>0–20</v>
      </c>
    </row>
    <row r="40" spans="1:12" x14ac:dyDescent="0.3">
      <c r="A40" s="15" t="s">
        <v>85</v>
      </c>
      <c r="B40" s="14">
        <v>18</v>
      </c>
      <c r="C40" s="15" t="s">
        <v>36</v>
      </c>
      <c r="D40" s="14">
        <v>5.5</v>
      </c>
      <c r="E40" s="14">
        <v>54</v>
      </c>
      <c r="F40" s="15" t="s">
        <v>25</v>
      </c>
      <c r="G40" s="15" t="s">
        <v>26</v>
      </c>
      <c r="H40" s="15" t="s">
        <v>14</v>
      </c>
      <c r="I40" s="15">
        <f t="shared" si="0"/>
        <v>1.6764000000000001</v>
      </c>
      <c r="J40" s="29">
        <f t="shared" si="1"/>
        <v>19.2</v>
      </c>
      <c r="K40" s="30" t="str">
        <f t="shared" si="3"/>
        <v>Normal</v>
      </c>
      <c r="L40" s="30" t="str">
        <f t="shared" si="2"/>
        <v>0–20</v>
      </c>
    </row>
    <row r="41" spans="1:12" x14ac:dyDescent="0.3">
      <c r="A41" s="15" t="s">
        <v>66</v>
      </c>
      <c r="B41" s="14">
        <v>20</v>
      </c>
      <c r="C41" s="15" t="s">
        <v>5</v>
      </c>
      <c r="D41" s="14">
        <v>6</v>
      </c>
      <c r="E41" s="14">
        <v>45</v>
      </c>
      <c r="F41" s="15" t="s">
        <v>7</v>
      </c>
      <c r="G41" s="15" t="s">
        <v>13</v>
      </c>
      <c r="H41" s="15" t="s">
        <v>9</v>
      </c>
      <c r="I41" s="15">
        <f t="shared" si="0"/>
        <v>1.8288000000000002</v>
      </c>
      <c r="J41" s="29">
        <f t="shared" si="1"/>
        <v>13.5</v>
      </c>
      <c r="K41" s="30" t="str">
        <f t="shared" si="3"/>
        <v>Underweight</v>
      </c>
      <c r="L41" s="30" t="str">
        <f t="shared" si="2"/>
        <v>0–20</v>
      </c>
    </row>
    <row r="42" spans="1:12" x14ac:dyDescent="0.3">
      <c r="A42" s="15" t="s">
        <v>87</v>
      </c>
      <c r="B42" s="14">
        <v>25</v>
      </c>
      <c r="C42" s="15" t="s">
        <v>5</v>
      </c>
      <c r="D42" s="14">
        <v>5.4</v>
      </c>
      <c r="E42" s="14">
        <v>58</v>
      </c>
      <c r="F42" s="15" t="s">
        <v>7</v>
      </c>
      <c r="G42" s="15" t="s">
        <v>13</v>
      </c>
      <c r="H42" s="15" t="s">
        <v>9</v>
      </c>
      <c r="I42" s="15">
        <f t="shared" si="0"/>
        <v>1.6459200000000003</v>
      </c>
      <c r="J42" s="29">
        <f t="shared" si="1"/>
        <v>21.4</v>
      </c>
      <c r="K42" s="30" t="str">
        <f t="shared" si="3"/>
        <v>Normal</v>
      </c>
      <c r="L42" s="30" t="str">
        <f t="shared" si="2"/>
        <v>21–40</v>
      </c>
    </row>
    <row r="43" spans="1:12" x14ac:dyDescent="0.3">
      <c r="A43" s="15" t="s">
        <v>52</v>
      </c>
      <c r="B43" s="14">
        <v>20</v>
      </c>
      <c r="C43" s="15" t="s">
        <v>5</v>
      </c>
      <c r="D43" s="28">
        <v>5.3</v>
      </c>
      <c r="E43" s="14">
        <v>41</v>
      </c>
      <c r="F43" s="15" t="s">
        <v>25</v>
      </c>
      <c r="G43" s="15" t="s">
        <v>26</v>
      </c>
      <c r="H43" s="15" t="s">
        <v>14</v>
      </c>
      <c r="I43" s="15">
        <f t="shared" si="0"/>
        <v>1.61544</v>
      </c>
      <c r="J43" s="29">
        <f t="shared" si="1"/>
        <v>15.7</v>
      </c>
      <c r="K43" s="30" t="str">
        <f t="shared" si="3"/>
        <v>Underweight</v>
      </c>
      <c r="L43" s="30" t="str">
        <f t="shared" si="2"/>
        <v>0–20</v>
      </c>
    </row>
    <row r="44" spans="1:12" x14ac:dyDescent="0.3">
      <c r="A44" s="15" t="s">
        <v>15</v>
      </c>
      <c r="B44" s="14">
        <v>20</v>
      </c>
      <c r="C44" s="15" t="s">
        <v>5</v>
      </c>
      <c r="D44" s="28">
        <v>4.0999999999999996</v>
      </c>
      <c r="E44" s="14">
        <v>41</v>
      </c>
      <c r="F44" s="15" t="s">
        <v>12</v>
      </c>
      <c r="G44" s="15" t="s">
        <v>8</v>
      </c>
      <c r="H44" s="15" t="s">
        <v>14</v>
      </c>
      <c r="I44" s="15">
        <f t="shared" si="0"/>
        <v>1.2496799999999999</v>
      </c>
      <c r="J44" s="37">
        <f t="shared" si="1"/>
        <v>26.3</v>
      </c>
      <c r="K44" s="30" t="str">
        <f t="shared" si="3"/>
        <v>Overweight</v>
      </c>
      <c r="L44" s="30" t="str">
        <f t="shared" si="2"/>
        <v>0–20</v>
      </c>
    </row>
    <row r="45" spans="1:12" x14ac:dyDescent="0.3">
      <c r="A45" s="15" t="s">
        <v>105</v>
      </c>
      <c r="B45" s="14">
        <v>18</v>
      </c>
      <c r="C45" s="15" t="s">
        <v>5</v>
      </c>
      <c r="D45" s="28">
        <v>5.2</v>
      </c>
      <c r="E45" s="14">
        <v>70</v>
      </c>
      <c r="F45" s="15" t="s">
        <v>12</v>
      </c>
      <c r="G45" s="15" t="s">
        <v>8</v>
      </c>
      <c r="H45" s="15" t="s">
        <v>9</v>
      </c>
      <c r="I45" s="15">
        <f t="shared" si="0"/>
        <v>1.5849600000000001</v>
      </c>
      <c r="J45" s="37">
        <f t="shared" si="1"/>
        <v>27.9</v>
      </c>
      <c r="K45" s="30" t="str">
        <f t="shared" si="3"/>
        <v>Overweight</v>
      </c>
      <c r="L45" s="30" t="str">
        <f t="shared" si="2"/>
        <v>0–20</v>
      </c>
    </row>
    <row r="46" spans="1:12" x14ac:dyDescent="0.3">
      <c r="A46" s="15" t="s">
        <v>76</v>
      </c>
      <c r="B46" s="14">
        <v>15</v>
      </c>
      <c r="C46" s="15" t="s">
        <v>5</v>
      </c>
      <c r="D46" s="28">
        <v>4</v>
      </c>
      <c r="E46" s="14">
        <v>40</v>
      </c>
      <c r="F46" s="15" t="s">
        <v>12</v>
      </c>
      <c r="G46" s="15" t="s">
        <v>26</v>
      </c>
      <c r="H46" s="15" t="s">
        <v>20</v>
      </c>
      <c r="I46" s="15">
        <f t="shared" si="0"/>
        <v>1.2192000000000001</v>
      </c>
      <c r="J46" s="37">
        <f t="shared" si="1"/>
        <v>26.9</v>
      </c>
      <c r="K46" s="30" t="str">
        <f t="shared" si="3"/>
        <v>Overweight</v>
      </c>
      <c r="L46" s="30" t="str">
        <f t="shared" si="2"/>
        <v>0–20</v>
      </c>
    </row>
    <row r="47" spans="1:12" x14ac:dyDescent="0.3">
      <c r="A47" s="15" t="s">
        <v>74</v>
      </c>
      <c r="B47" s="14">
        <v>58</v>
      </c>
      <c r="C47" s="15" t="s">
        <v>36</v>
      </c>
      <c r="D47" s="28">
        <v>5.9</v>
      </c>
      <c r="E47" s="14">
        <v>80</v>
      </c>
      <c r="F47" s="15" t="s">
        <v>12</v>
      </c>
      <c r="G47" s="15" t="s">
        <v>26</v>
      </c>
      <c r="H47" s="15" t="s">
        <v>20</v>
      </c>
      <c r="I47" s="15">
        <f t="shared" si="0"/>
        <v>1.7983200000000001</v>
      </c>
      <c r="J47" s="29">
        <f t="shared" si="1"/>
        <v>24.7</v>
      </c>
      <c r="K47" s="30" t="str">
        <f t="shared" si="3"/>
        <v>Normal</v>
      </c>
      <c r="L47" s="30" t="str">
        <f t="shared" si="2"/>
        <v>41–60</v>
      </c>
    </row>
    <row r="48" spans="1:12" x14ac:dyDescent="0.3">
      <c r="A48" s="15" t="s">
        <v>124</v>
      </c>
      <c r="B48" s="14">
        <v>19</v>
      </c>
      <c r="C48" s="15" t="s">
        <v>5</v>
      </c>
      <c r="D48" s="28">
        <v>4.8</v>
      </c>
      <c r="E48" s="14">
        <v>45</v>
      </c>
      <c r="F48" s="15" t="s">
        <v>25</v>
      </c>
      <c r="G48" s="15" t="s">
        <v>26</v>
      </c>
      <c r="H48" s="15" t="s">
        <v>9</v>
      </c>
      <c r="I48" s="15">
        <f t="shared" si="0"/>
        <v>1.4630400000000001</v>
      </c>
      <c r="J48" s="29">
        <f t="shared" si="1"/>
        <v>21</v>
      </c>
      <c r="K48" s="30" t="str">
        <f t="shared" si="3"/>
        <v>Normal</v>
      </c>
      <c r="L48" s="30" t="str">
        <f t="shared" si="2"/>
        <v>0–20</v>
      </c>
    </row>
    <row r="49" spans="1:12" x14ac:dyDescent="0.3">
      <c r="A49" s="15" t="s">
        <v>73</v>
      </c>
      <c r="B49" s="14">
        <v>55</v>
      </c>
      <c r="C49" s="15" t="s">
        <v>36</v>
      </c>
      <c r="D49" s="28">
        <v>5.9</v>
      </c>
      <c r="E49" s="14">
        <v>80</v>
      </c>
      <c r="F49" s="15" t="s">
        <v>12</v>
      </c>
      <c r="G49" s="15" t="s">
        <v>26</v>
      </c>
      <c r="H49" s="15" t="s">
        <v>20</v>
      </c>
      <c r="I49" s="15">
        <f t="shared" si="0"/>
        <v>1.7983200000000001</v>
      </c>
      <c r="J49" s="29">
        <f t="shared" si="1"/>
        <v>24.7</v>
      </c>
      <c r="K49" s="30" t="str">
        <f t="shared" si="3"/>
        <v>Normal</v>
      </c>
      <c r="L49" s="30" t="str">
        <f t="shared" si="2"/>
        <v>41–60</v>
      </c>
    </row>
    <row r="50" spans="1:12" x14ac:dyDescent="0.3">
      <c r="A50" s="15" t="s">
        <v>60</v>
      </c>
      <c r="B50" s="14">
        <v>21</v>
      </c>
      <c r="C50" s="15" t="s">
        <v>5</v>
      </c>
      <c r="D50" s="28">
        <v>5.2</v>
      </c>
      <c r="E50" s="14">
        <v>36</v>
      </c>
      <c r="F50" s="15" t="s">
        <v>12</v>
      </c>
      <c r="G50" s="15" t="s">
        <v>26</v>
      </c>
      <c r="H50" s="15" t="s">
        <v>9</v>
      </c>
      <c r="I50" s="15">
        <f t="shared" si="0"/>
        <v>1.5849600000000001</v>
      </c>
      <c r="J50" s="29">
        <f t="shared" si="1"/>
        <v>14.3</v>
      </c>
      <c r="K50" s="30" t="str">
        <f t="shared" si="3"/>
        <v>Underweight</v>
      </c>
      <c r="L50" s="30" t="str">
        <f t="shared" si="2"/>
        <v>21–40</v>
      </c>
    </row>
    <row r="51" spans="1:12" x14ac:dyDescent="0.3">
      <c r="A51" s="15" t="s">
        <v>89</v>
      </c>
      <c r="B51" s="14">
        <v>20</v>
      </c>
      <c r="C51" s="15" t="s">
        <v>5</v>
      </c>
      <c r="D51" s="28">
        <v>5</v>
      </c>
      <c r="E51" s="14">
        <v>75</v>
      </c>
      <c r="F51" s="15" t="s">
        <v>12</v>
      </c>
      <c r="G51" s="15" t="s">
        <v>8</v>
      </c>
      <c r="H51" s="15" t="s">
        <v>9</v>
      </c>
      <c r="I51" s="15">
        <f t="shared" si="0"/>
        <v>1.524</v>
      </c>
      <c r="J51" s="32">
        <f t="shared" si="1"/>
        <v>32.299999999999997</v>
      </c>
      <c r="K51" s="30" t="str">
        <f t="shared" si="3"/>
        <v>Obese</v>
      </c>
      <c r="L51" s="30" t="str">
        <f t="shared" si="2"/>
        <v>0–20</v>
      </c>
    </row>
    <row r="52" spans="1:12" x14ac:dyDescent="0.3">
      <c r="A52" s="15" t="s">
        <v>103</v>
      </c>
      <c r="B52" s="14">
        <v>23</v>
      </c>
      <c r="C52" s="15" t="s">
        <v>36</v>
      </c>
      <c r="D52" s="28">
        <v>5.5</v>
      </c>
      <c r="E52" s="14">
        <v>58</v>
      </c>
      <c r="F52" s="15" t="s">
        <v>12</v>
      </c>
      <c r="G52" s="15" t="s">
        <v>26</v>
      </c>
      <c r="H52" s="15" t="s">
        <v>9</v>
      </c>
      <c r="I52" s="15">
        <f t="shared" si="0"/>
        <v>1.6764000000000001</v>
      </c>
      <c r="J52" s="29">
        <f t="shared" si="1"/>
        <v>20.6</v>
      </c>
      <c r="K52" s="30" t="str">
        <f t="shared" si="3"/>
        <v>Normal</v>
      </c>
      <c r="L52" s="30" t="str">
        <f t="shared" si="2"/>
        <v>21–40</v>
      </c>
    </row>
    <row r="53" spans="1:12" x14ac:dyDescent="0.3">
      <c r="A53" s="15" t="s">
        <v>88</v>
      </c>
      <c r="B53" s="14">
        <v>19</v>
      </c>
      <c r="C53" s="15" t="s">
        <v>5</v>
      </c>
      <c r="D53" s="14">
        <v>5</v>
      </c>
      <c r="E53" s="14">
        <v>55</v>
      </c>
      <c r="F53" s="15" t="s">
        <v>12</v>
      </c>
      <c r="G53" s="15" t="s">
        <v>26</v>
      </c>
      <c r="H53" s="15" t="s">
        <v>9</v>
      </c>
      <c r="I53" s="15">
        <f t="shared" si="0"/>
        <v>1.524</v>
      </c>
      <c r="J53" s="29">
        <f t="shared" si="1"/>
        <v>23.7</v>
      </c>
      <c r="K53" s="30" t="str">
        <f t="shared" si="3"/>
        <v>Normal</v>
      </c>
      <c r="L53" s="30" t="str">
        <f t="shared" si="2"/>
        <v>0–20</v>
      </c>
    </row>
    <row r="54" spans="1:12" x14ac:dyDescent="0.3">
      <c r="A54" s="15" t="s">
        <v>33</v>
      </c>
      <c r="B54" s="14">
        <v>20</v>
      </c>
      <c r="C54" s="15" t="s">
        <v>5</v>
      </c>
      <c r="D54" s="28">
        <v>5.3</v>
      </c>
      <c r="E54" s="14">
        <v>52</v>
      </c>
      <c r="F54" s="15" t="s">
        <v>25</v>
      </c>
      <c r="G54" s="15" t="s">
        <v>26</v>
      </c>
      <c r="H54" s="15" t="s">
        <v>9</v>
      </c>
      <c r="I54" s="15">
        <f t="shared" si="0"/>
        <v>1.61544</v>
      </c>
      <c r="J54" s="29">
        <f t="shared" si="1"/>
        <v>19.899999999999999</v>
      </c>
      <c r="K54" s="30" t="str">
        <f t="shared" si="3"/>
        <v>Normal</v>
      </c>
      <c r="L54" s="30" t="str">
        <f t="shared" si="2"/>
        <v>0–20</v>
      </c>
    </row>
    <row r="55" spans="1:12" x14ac:dyDescent="0.3">
      <c r="A55" s="15" t="s">
        <v>94</v>
      </c>
      <c r="B55" s="14">
        <v>19</v>
      </c>
      <c r="C55" s="15" t="s">
        <v>5</v>
      </c>
      <c r="D55" s="28">
        <v>5.2</v>
      </c>
      <c r="E55" s="31">
        <v>50</v>
      </c>
      <c r="F55" s="15" t="s">
        <v>12</v>
      </c>
      <c r="G55" s="15" t="s">
        <v>13</v>
      </c>
      <c r="H55" s="15" t="s">
        <v>14</v>
      </c>
      <c r="I55" s="15">
        <f t="shared" si="0"/>
        <v>1.5849600000000001</v>
      </c>
      <c r="J55" s="29">
        <f t="shared" si="1"/>
        <v>19.899999999999999</v>
      </c>
      <c r="K55" s="30" t="str">
        <f t="shared" si="3"/>
        <v>Normal</v>
      </c>
      <c r="L55" s="30" t="str">
        <f t="shared" si="2"/>
        <v>0–20</v>
      </c>
    </row>
    <row r="56" spans="1:12" x14ac:dyDescent="0.3">
      <c r="A56" s="15" t="s">
        <v>134</v>
      </c>
      <c r="B56" s="14">
        <v>19</v>
      </c>
      <c r="C56" s="15" t="s">
        <v>5</v>
      </c>
      <c r="D56" s="28">
        <v>5.2</v>
      </c>
      <c r="E56" s="14">
        <v>46</v>
      </c>
      <c r="F56" s="15" t="s">
        <v>12</v>
      </c>
      <c r="G56" s="15" t="s">
        <v>8</v>
      </c>
      <c r="H56" s="15" t="s">
        <v>14</v>
      </c>
      <c r="I56" s="15">
        <f t="shared" si="0"/>
        <v>1.5849600000000001</v>
      </c>
      <c r="J56" s="29">
        <f t="shared" si="1"/>
        <v>18.3</v>
      </c>
      <c r="K56" s="30" t="str">
        <f t="shared" si="3"/>
        <v>Underweight</v>
      </c>
      <c r="L56" s="30" t="str">
        <f t="shared" si="2"/>
        <v>0–20</v>
      </c>
    </row>
    <row r="57" spans="1:12" x14ac:dyDescent="0.3">
      <c r="A57" s="15" t="s">
        <v>59</v>
      </c>
      <c r="B57" s="14">
        <v>36</v>
      </c>
      <c r="C57" s="15" t="s">
        <v>5</v>
      </c>
      <c r="D57" s="28">
        <v>5.4</v>
      </c>
      <c r="E57" s="14">
        <v>52</v>
      </c>
      <c r="F57" s="15" t="s">
        <v>25</v>
      </c>
      <c r="G57" s="15" t="s">
        <v>8</v>
      </c>
      <c r="H57" s="15" t="s">
        <v>9</v>
      </c>
      <c r="I57" s="15">
        <f t="shared" si="0"/>
        <v>1.6459200000000003</v>
      </c>
      <c r="J57" s="29">
        <f t="shared" si="1"/>
        <v>19.2</v>
      </c>
      <c r="K57" s="30" t="str">
        <f t="shared" si="3"/>
        <v>Normal</v>
      </c>
      <c r="L57" s="30" t="str">
        <f t="shared" si="2"/>
        <v>21–40</v>
      </c>
    </row>
    <row r="58" spans="1:12" x14ac:dyDescent="0.3">
      <c r="A58" s="15" t="s">
        <v>91</v>
      </c>
      <c r="B58" s="14">
        <v>21</v>
      </c>
      <c r="C58" s="15" t="s">
        <v>5</v>
      </c>
      <c r="D58" s="28">
        <v>5</v>
      </c>
      <c r="E58" s="14">
        <v>37</v>
      </c>
      <c r="F58" s="15" t="s">
        <v>12</v>
      </c>
      <c r="G58" s="15" t="s">
        <v>22</v>
      </c>
      <c r="H58" s="15" t="s">
        <v>20</v>
      </c>
      <c r="I58" s="15">
        <f t="shared" si="0"/>
        <v>1.524</v>
      </c>
      <c r="J58" s="29">
        <f t="shared" si="1"/>
        <v>15.9</v>
      </c>
      <c r="K58" s="30" t="str">
        <f t="shared" si="3"/>
        <v>Underweight</v>
      </c>
      <c r="L58" s="30" t="str">
        <f t="shared" si="2"/>
        <v>21–40</v>
      </c>
    </row>
    <row r="59" spans="1:12" x14ac:dyDescent="0.3">
      <c r="A59" s="15" t="s">
        <v>51</v>
      </c>
      <c r="B59" s="14">
        <v>14</v>
      </c>
      <c r="C59" s="15" t="s">
        <v>5</v>
      </c>
      <c r="D59" s="14">
        <v>5</v>
      </c>
      <c r="E59" s="14">
        <v>40</v>
      </c>
      <c r="F59" s="15" t="s">
        <v>12</v>
      </c>
      <c r="G59" s="15" t="s">
        <v>13</v>
      </c>
      <c r="H59" s="15" t="s">
        <v>9</v>
      </c>
      <c r="I59" s="15">
        <f t="shared" si="0"/>
        <v>1.524</v>
      </c>
      <c r="J59" s="29">
        <f t="shared" si="1"/>
        <v>17.2</v>
      </c>
      <c r="K59" s="30" t="str">
        <f t="shared" si="3"/>
        <v>Underweight</v>
      </c>
      <c r="L59" s="30" t="str">
        <f t="shared" si="2"/>
        <v>0–20</v>
      </c>
    </row>
    <row r="60" spans="1:12" x14ac:dyDescent="0.3">
      <c r="A60" s="15" t="s">
        <v>110</v>
      </c>
      <c r="B60" s="14">
        <v>20</v>
      </c>
      <c r="C60" s="15" t="s">
        <v>5</v>
      </c>
      <c r="D60" s="28">
        <v>4.9000000000000004</v>
      </c>
      <c r="E60" s="14">
        <v>47</v>
      </c>
      <c r="F60" s="15" t="s">
        <v>12</v>
      </c>
      <c r="G60" s="15" t="s">
        <v>13</v>
      </c>
      <c r="H60" s="15" t="s">
        <v>14</v>
      </c>
      <c r="I60" s="15">
        <f t="shared" si="0"/>
        <v>1.4935200000000002</v>
      </c>
      <c r="J60" s="29">
        <f t="shared" si="1"/>
        <v>21.1</v>
      </c>
      <c r="K60" s="30" t="str">
        <f t="shared" si="3"/>
        <v>Normal</v>
      </c>
      <c r="L60" s="30" t="str">
        <f t="shared" si="2"/>
        <v>0–20</v>
      </c>
    </row>
    <row r="61" spans="1:12" x14ac:dyDescent="0.3">
      <c r="A61" s="15" t="s">
        <v>99</v>
      </c>
      <c r="B61" s="14">
        <v>19</v>
      </c>
      <c r="C61" s="15" t="s">
        <v>5</v>
      </c>
      <c r="D61" s="14">
        <v>5.4</v>
      </c>
      <c r="E61" s="14">
        <v>70</v>
      </c>
      <c r="F61" s="15" t="s">
        <v>12</v>
      </c>
      <c r="G61" s="15" t="s">
        <v>26</v>
      </c>
      <c r="H61" s="15" t="s">
        <v>9</v>
      </c>
      <c r="I61" s="15">
        <f t="shared" si="0"/>
        <v>1.6459200000000003</v>
      </c>
      <c r="J61" s="37">
        <f t="shared" si="1"/>
        <v>25.8</v>
      </c>
      <c r="K61" s="30" t="str">
        <f t="shared" si="3"/>
        <v>Overweight</v>
      </c>
      <c r="L61" s="30" t="str">
        <f t="shared" si="2"/>
        <v>0–20</v>
      </c>
    </row>
    <row r="62" spans="1:12" x14ac:dyDescent="0.3">
      <c r="A62" s="15" t="s">
        <v>72</v>
      </c>
      <c r="B62" s="14">
        <v>60</v>
      </c>
      <c r="C62" s="15" t="s">
        <v>36</v>
      </c>
      <c r="D62" s="28">
        <v>5.9</v>
      </c>
      <c r="E62" s="14">
        <v>79</v>
      </c>
      <c r="F62" s="15" t="s">
        <v>12</v>
      </c>
      <c r="G62" s="15" t="s">
        <v>8</v>
      </c>
      <c r="H62" s="15" t="s">
        <v>20</v>
      </c>
      <c r="I62" s="15">
        <f t="shared" si="0"/>
        <v>1.7983200000000001</v>
      </c>
      <c r="J62" s="29">
        <f t="shared" si="1"/>
        <v>24.4</v>
      </c>
      <c r="K62" s="30" t="str">
        <f t="shared" si="3"/>
        <v>Normal</v>
      </c>
      <c r="L62" s="30" t="str">
        <f t="shared" si="2"/>
        <v>41–60</v>
      </c>
    </row>
    <row r="63" spans="1:12" x14ac:dyDescent="0.3">
      <c r="A63" s="15" t="s">
        <v>136</v>
      </c>
      <c r="B63" s="14">
        <v>32</v>
      </c>
      <c r="C63" s="15" t="s">
        <v>36</v>
      </c>
      <c r="D63" s="14">
        <v>4.8</v>
      </c>
      <c r="E63" s="14">
        <v>70</v>
      </c>
      <c r="F63" s="15" t="s">
        <v>25</v>
      </c>
      <c r="G63" s="15" t="s">
        <v>26</v>
      </c>
      <c r="H63" s="15" t="s">
        <v>20</v>
      </c>
      <c r="I63" s="15">
        <f t="shared" si="0"/>
        <v>1.4630400000000001</v>
      </c>
      <c r="J63" s="32">
        <f t="shared" si="1"/>
        <v>32.700000000000003</v>
      </c>
      <c r="K63" s="30" t="str">
        <f t="shared" si="3"/>
        <v>Obese</v>
      </c>
      <c r="L63" s="30" t="str">
        <f t="shared" si="2"/>
        <v>21–40</v>
      </c>
    </row>
    <row r="64" spans="1:12" x14ac:dyDescent="0.3">
      <c r="A64" s="15" t="s">
        <v>117</v>
      </c>
      <c r="B64" s="14">
        <v>20</v>
      </c>
      <c r="C64" s="15" t="s">
        <v>5</v>
      </c>
      <c r="D64" s="14">
        <v>5.2</v>
      </c>
      <c r="E64" s="14">
        <v>64</v>
      </c>
      <c r="F64" s="15" t="s">
        <v>25</v>
      </c>
      <c r="G64" s="15" t="s">
        <v>26</v>
      </c>
      <c r="H64" s="15" t="s">
        <v>14</v>
      </c>
      <c r="I64" s="15">
        <f t="shared" si="0"/>
        <v>1.5849600000000001</v>
      </c>
      <c r="J64" s="37">
        <f t="shared" si="1"/>
        <v>25.5</v>
      </c>
      <c r="K64" s="30" t="str">
        <f t="shared" si="3"/>
        <v>Overweight</v>
      </c>
      <c r="L64" s="30" t="str">
        <f t="shared" si="2"/>
        <v>0–20</v>
      </c>
    </row>
    <row r="65" spans="1:12" x14ac:dyDescent="0.3">
      <c r="A65" s="15" t="s">
        <v>93</v>
      </c>
      <c r="B65" s="14">
        <v>20</v>
      </c>
      <c r="C65" s="15" t="s">
        <v>5</v>
      </c>
      <c r="D65" s="14">
        <v>5.4</v>
      </c>
      <c r="E65" s="14">
        <v>46</v>
      </c>
      <c r="F65" s="15" t="s">
        <v>12</v>
      </c>
      <c r="G65" s="15" t="s">
        <v>13</v>
      </c>
      <c r="H65" s="15" t="s">
        <v>9</v>
      </c>
      <c r="I65" s="15">
        <f t="shared" si="0"/>
        <v>1.6459200000000003</v>
      </c>
      <c r="J65" s="29">
        <f t="shared" si="1"/>
        <v>17</v>
      </c>
      <c r="K65" s="30" t="str">
        <f t="shared" si="3"/>
        <v>Underweight</v>
      </c>
      <c r="L65" s="30" t="str">
        <f t="shared" si="2"/>
        <v>0–20</v>
      </c>
    </row>
    <row r="66" spans="1:12" x14ac:dyDescent="0.3">
      <c r="A66" s="15" t="s">
        <v>116</v>
      </c>
      <c r="B66" s="14">
        <v>18</v>
      </c>
      <c r="C66" s="15" t="s">
        <v>36</v>
      </c>
      <c r="D66" s="14">
        <v>5.5</v>
      </c>
      <c r="E66" s="14">
        <v>54</v>
      </c>
      <c r="F66" s="15" t="s">
        <v>25</v>
      </c>
      <c r="G66" s="15" t="s">
        <v>26</v>
      </c>
      <c r="H66" s="15" t="s">
        <v>14</v>
      </c>
      <c r="I66" s="15">
        <f t="shared" ref="I66:I108" si="4">D66*0.3048</f>
        <v>1.6764000000000001</v>
      </c>
      <c r="J66" s="29">
        <f t="shared" si="1"/>
        <v>19.2</v>
      </c>
      <c r="K66" s="30" t="str">
        <f t="shared" si="3"/>
        <v>Normal</v>
      </c>
      <c r="L66" s="30" t="str">
        <f t="shared" si="2"/>
        <v>0–20</v>
      </c>
    </row>
    <row r="67" spans="1:12" x14ac:dyDescent="0.3">
      <c r="A67" s="15" t="s">
        <v>86</v>
      </c>
      <c r="B67" s="14">
        <v>19</v>
      </c>
      <c r="C67" s="15" t="s">
        <v>5</v>
      </c>
      <c r="D67" s="14">
        <v>5.2</v>
      </c>
      <c r="E67" s="14">
        <v>67</v>
      </c>
      <c r="F67" s="15" t="s">
        <v>25</v>
      </c>
      <c r="G67" s="15" t="s">
        <v>26</v>
      </c>
      <c r="H67" s="15" t="s">
        <v>9</v>
      </c>
      <c r="I67" s="15">
        <f t="shared" si="4"/>
        <v>1.5849600000000001</v>
      </c>
      <c r="J67" s="37">
        <f t="shared" ref="J67:J108" si="5">ROUND(E67/(I67^2), 1)</f>
        <v>26.7</v>
      </c>
      <c r="K67" s="30" t="str">
        <f t="shared" ref="K67:K108" si="6">IF(J67="","",IF(J67&lt;18.5,"Underweight",IF(J67&lt;25,"Normal",IF(J67&lt;30,"Overweight","Obese"))))</f>
        <v>Overweight</v>
      </c>
      <c r="L67" s="30" t="str">
        <f t="shared" ref="L67:L108" si="7">IF(B67&lt;=20,"0–20",IF(B67&lt;=40,"21–40",IF(B67&lt;=60,"41–60","61+")))</f>
        <v>0–20</v>
      </c>
    </row>
    <row r="68" spans="1:12" x14ac:dyDescent="0.3">
      <c r="A68" s="15" t="s">
        <v>50</v>
      </c>
      <c r="B68" s="14">
        <v>25</v>
      </c>
      <c r="C68" s="15" t="s">
        <v>36</v>
      </c>
      <c r="D68" s="28">
        <v>5.9</v>
      </c>
      <c r="E68" s="14">
        <v>75</v>
      </c>
      <c r="F68" s="15" t="s">
        <v>7</v>
      </c>
      <c r="G68" s="15" t="s">
        <v>26</v>
      </c>
      <c r="H68" s="15" t="s">
        <v>9</v>
      </c>
      <c r="I68" s="15">
        <f t="shared" si="4"/>
        <v>1.7983200000000001</v>
      </c>
      <c r="J68" s="29">
        <f t="shared" si="5"/>
        <v>23.2</v>
      </c>
      <c r="K68" s="30" t="str">
        <f t="shared" si="6"/>
        <v>Normal</v>
      </c>
      <c r="L68" s="30" t="str">
        <f t="shared" si="7"/>
        <v>21–40</v>
      </c>
    </row>
    <row r="69" spans="1:12" x14ac:dyDescent="0.3">
      <c r="A69" s="15" t="s">
        <v>118</v>
      </c>
      <c r="B69" s="14">
        <v>21</v>
      </c>
      <c r="C69" s="15" t="s">
        <v>36</v>
      </c>
      <c r="D69" s="14">
        <v>5.6</v>
      </c>
      <c r="E69" s="14">
        <v>68</v>
      </c>
      <c r="F69" s="15" t="s">
        <v>12</v>
      </c>
      <c r="G69" s="15" t="s">
        <v>8</v>
      </c>
      <c r="H69" s="15" t="s">
        <v>9</v>
      </c>
      <c r="I69" s="15">
        <f t="shared" si="4"/>
        <v>1.70688</v>
      </c>
      <c r="J69" s="29">
        <f t="shared" si="5"/>
        <v>23.3</v>
      </c>
      <c r="K69" s="30" t="str">
        <f t="shared" si="6"/>
        <v>Normal</v>
      </c>
      <c r="L69" s="30" t="str">
        <f t="shared" si="7"/>
        <v>21–40</v>
      </c>
    </row>
    <row r="70" spans="1:12" x14ac:dyDescent="0.3">
      <c r="A70" s="15" t="s">
        <v>30</v>
      </c>
      <c r="B70" s="14">
        <v>19</v>
      </c>
      <c r="C70" s="15" t="s">
        <v>5</v>
      </c>
      <c r="D70" s="14">
        <v>5.4</v>
      </c>
      <c r="E70" s="14">
        <v>37</v>
      </c>
      <c r="F70" s="15" t="s">
        <v>12</v>
      </c>
      <c r="G70" s="15" t="s">
        <v>8</v>
      </c>
      <c r="H70" s="15" t="s">
        <v>14</v>
      </c>
      <c r="I70" s="15">
        <f t="shared" si="4"/>
        <v>1.6459200000000003</v>
      </c>
      <c r="J70" s="29">
        <f t="shared" si="5"/>
        <v>13.7</v>
      </c>
      <c r="K70" s="30" t="str">
        <f t="shared" si="6"/>
        <v>Underweight</v>
      </c>
      <c r="L70" s="30" t="str">
        <f t="shared" si="7"/>
        <v>0–20</v>
      </c>
    </row>
    <row r="71" spans="1:12" x14ac:dyDescent="0.3">
      <c r="A71" s="15" t="s">
        <v>113</v>
      </c>
      <c r="B71" s="14">
        <v>24</v>
      </c>
      <c r="C71" s="15" t="s">
        <v>36</v>
      </c>
      <c r="D71" s="28">
        <v>5.6</v>
      </c>
      <c r="E71" s="14">
        <v>58</v>
      </c>
      <c r="F71" s="15" t="s">
        <v>12</v>
      </c>
      <c r="G71" s="15" t="s">
        <v>26</v>
      </c>
      <c r="H71" s="15" t="s">
        <v>14</v>
      </c>
      <c r="I71" s="15">
        <f t="shared" si="4"/>
        <v>1.70688</v>
      </c>
      <c r="J71" s="29">
        <f t="shared" si="5"/>
        <v>19.899999999999999</v>
      </c>
      <c r="K71" s="30" t="str">
        <f t="shared" si="6"/>
        <v>Normal</v>
      </c>
      <c r="L71" s="30" t="str">
        <f t="shared" si="7"/>
        <v>21–40</v>
      </c>
    </row>
    <row r="72" spans="1:12" x14ac:dyDescent="0.3">
      <c r="A72" s="15" t="s">
        <v>40</v>
      </c>
      <c r="B72" s="14">
        <v>21</v>
      </c>
      <c r="C72" s="15" t="s">
        <v>5</v>
      </c>
      <c r="D72" s="14">
        <v>5.8</v>
      </c>
      <c r="E72" s="14">
        <v>53</v>
      </c>
      <c r="F72" s="15" t="s">
        <v>12</v>
      </c>
      <c r="G72" s="15" t="s">
        <v>22</v>
      </c>
      <c r="H72" s="15" t="s">
        <v>14</v>
      </c>
      <c r="I72" s="15">
        <f t="shared" si="4"/>
        <v>1.7678400000000001</v>
      </c>
      <c r="J72" s="29">
        <f t="shared" si="5"/>
        <v>17</v>
      </c>
      <c r="K72" s="30" t="str">
        <f t="shared" si="6"/>
        <v>Underweight</v>
      </c>
      <c r="L72" s="30" t="str">
        <f t="shared" si="7"/>
        <v>21–40</v>
      </c>
    </row>
    <row r="73" spans="1:12" x14ac:dyDescent="0.3">
      <c r="A73" s="15" t="s">
        <v>28</v>
      </c>
      <c r="B73" s="14">
        <v>19</v>
      </c>
      <c r="C73" s="15" t="s">
        <v>5</v>
      </c>
      <c r="D73" s="28">
        <v>5.6</v>
      </c>
      <c r="E73" s="14">
        <v>45</v>
      </c>
      <c r="F73" s="15" t="s">
        <v>12</v>
      </c>
      <c r="G73" s="15" t="s">
        <v>22</v>
      </c>
      <c r="H73" s="15" t="s">
        <v>20</v>
      </c>
      <c r="I73" s="15">
        <f t="shared" si="4"/>
        <v>1.70688</v>
      </c>
      <c r="J73" s="29">
        <f t="shared" si="5"/>
        <v>15.4</v>
      </c>
      <c r="K73" s="30" t="str">
        <f t="shared" si="6"/>
        <v>Underweight</v>
      </c>
      <c r="L73" s="30" t="str">
        <f t="shared" si="7"/>
        <v>0–20</v>
      </c>
    </row>
    <row r="74" spans="1:12" x14ac:dyDescent="0.3">
      <c r="A74" s="15" t="s">
        <v>42</v>
      </c>
      <c r="B74" s="14">
        <v>19</v>
      </c>
      <c r="C74" s="15" t="s">
        <v>5</v>
      </c>
      <c r="D74" s="14">
        <v>5.4</v>
      </c>
      <c r="E74" s="14">
        <v>47</v>
      </c>
      <c r="F74" s="15" t="s">
        <v>7</v>
      </c>
      <c r="G74" s="15" t="s">
        <v>26</v>
      </c>
      <c r="H74" s="15" t="s">
        <v>9</v>
      </c>
      <c r="I74" s="15">
        <f t="shared" si="4"/>
        <v>1.6459200000000003</v>
      </c>
      <c r="J74" s="29">
        <f t="shared" si="5"/>
        <v>17.3</v>
      </c>
      <c r="K74" s="30" t="str">
        <f t="shared" si="6"/>
        <v>Underweight</v>
      </c>
      <c r="L74" s="30" t="str">
        <f t="shared" si="7"/>
        <v>0–20</v>
      </c>
    </row>
    <row r="75" spans="1:12" x14ac:dyDescent="0.3">
      <c r="A75" s="15" t="s">
        <v>39</v>
      </c>
      <c r="B75" s="14">
        <v>20</v>
      </c>
      <c r="C75" s="15" t="s">
        <v>5</v>
      </c>
      <c r="D75" s="14">
        <v>4.9000000000000004</v>
      </c>
      <c r="E75" s="14">
        <v>60</v>
      </c>
      <c r="F75" s="15" t="s">
        <v>7</v>
      </c>
      <c r="G75" s="15" t="s">
        <v>22</v>
      </c>
      <c r="H75" s="15" t="s">
        <v>9</v>
      </c>
      <c r="I75" s="15">
        <f t="shared" si="4"/>
        <v>1.4935200000000002</v>
      </c>
      <c r="J75" s="37">
        <f t="shared" si="5"/>
        <v>26.9</v>
      </c>
      <c r="K75" s="30" t="str">
        <f t="shared" si="6"/>
        <v>Overweight</v>
      </c>
      <c r="L75" s="30" t="str">
        <f t="shared" si="7"/>
        <v>0–20</v>
      </c>
    </row>
    <row r="76" spans="1:12" x14ac:dyDescent="0.3">
      <c r="A76" s="15" t="s">
        <v>70</v>
      </c>
      <c r="B76" s="14">
        <v>55</v>
      </c>
      <c r="C76" s="15" t="s">
        <v>5</v>
      </c>
      <c r="D76" s="28">
        <v>6</v>
      </c>
      <c r="E76" s="14">
        <v>80</v>
      </c>
      <c r="F76" s="15" t="s">
        <v>25</v>
      </c>
      <c r="G76" s="15" t="s">
        <v>26</v>
      </c>
      <c r="H76" s="15" t="s">
        <v>20</v>
      </c>
      <c r="I76" s="15">
        <f t="shared" si="4"/>
        <v>1.8288000000000002</v>
      </c>
      <c r="J76" s="29">
        <f t="shared" si="5"/>
        <v>23.9</v>
      </c>
      <c r="K76" s="30" t="str">
        <f t="shared" si="6"/>
        <v>Normal</v>
      </c>
      <c r="L76" s="30" t="str">
        <f t="shared" si="7"/>
        <v>41–60</v>
      </c>
    </row>
    <row r="77" spans="1:12" x14ac:dyDescent="0.3">
      <c r="A77" s="15" t="s">
        <v>71</v>
      </c>
      <c r="B77" s="14">
        <v>21</v>
      </c>
      <c r="C77" s="15" t="s">
        <v>5</v>
      </c>
      <c r="D77" s="28">
        <v>5</v>
      </c>
      <c r="E77" s="14">
        <v>49</v>
      </c>
      <c r="F77" s="15" t="s">
        <v>12</v>
      </c>
      <c r="G77" s="15" t="s">
        <v>8</v>
      </c>
      <c r="H77" s="15" t="s">
        <v>14</v>
      </c>
      <c r="I77" s="15">
        <f t="shared" si="4"/>
        <v>1.524</v>
      </c>
      <c r="J77" s="29">
        <f t="shared" si="5"/>
        <v>21.1</v>
      </c>
      <c r="K77" s="30" t="str">
        <f t="shared" si="6"/>
        <v>Normal</v>
      </c>
      <c r="L77" s="30" t="str">
        <f t="shared" si="7"/>
        <v>21–40</v>
      </c>
    </row>
    <row r="78" spans="1:12" x14ac:dyDescent="0.3">
      <c r="A78" s="15" t="s">
        <v>53</v>
      </c>
      <c r="B78" s="14">
        <v>20</v>
      </c>
      <c r="C78" s="15" t="s">
        <v>5</v>
      </c>
      <c r="D78" s="28">
        <v>5</v>
      </c>
      <c r="E78" s="14">
        <v>35</v>
      </c>
      <c r="F78" s="15" t="s">
        <v>12</v>
      </c>
      <c r="G78" s="15" t="s">
        <v>26</v>
      </c>
      <c r="H78" s="15" t="s">
        <v>14</v>
      </c>
      <c r="I78" s="15">
        <f t="shared" si="4"/>
        <v>1.524</v>
      </c>
      <c r="J78" s="29">
        <f t="shared" si="5"/>
        <v>15.1</v>
      </c>
      <c r="K78" s="30" t="str">
        <f t="shared" si="6"/>
        <v>Underweight</v>
      </c>
      <c r="L78" s="30" t="str">
        <f t="shared" si="7"/>
        <v>0–20</v>
      </c>
    </row>
    <row r="79" spans="1:12" x14ac:dyDescent="0.3">
      <c r="A79" s="15" t="s">
        <v>123</v>
      </c>
      <c r="B79" s="14">
        <v>18</v>
      </c>
      <c r="C79" s="15" t="s">
        <v>5</v>
      </c>
      <c r="D79" s="14">
        <v>6</v>
      </c>
      <c r="E79" s="14">
        <v>67</v>
      </c>
      <c r="F79" s="15" t="s">
        <v>12</v>
      </c>
      <c r="G79" s="15" t="s">
        <v>26</v>
      </c>
      <c r="H79" s="15" t="s">
        <v>20</v>
      </c>
      <c r="I79" s="15">
        <f t="shared" si="4"/>
        <v>1.8288000000000002</v>
      </c>
      <c r="J79" s="29">
        <f t="shared" si="5"/>
        <v>20</v>
      </c>
      <c r="K79" s="30" t="str">
        <f t="shared" si="6"/>
        <v>Normal</v>
      </c>
      <c r="L79" s="30" t="str">
        <f t="shared" si="7"/>
        <v>0–20</v>
      </c>
    </row>
    <row r="80" spans="1:12" x14ac:dyDescent="0.3">
      <c r="A80" s="15" t="s">
        <v>77</v>
      </c>
      <c r="B80" s="14">
        <v>65</v>
      </c>
      <c r="C80" s="15" t="s">
        <v>5</v>
      </c>
      <c r="D80" s="28">
        <v>6</v>
      </c>
      <c r="E80" s="14">
        <v>78</v>
      </c>
      <c r="F80" s="15" t="s">
        <v>12</v>
      </c>
      <c r="G80" s="15" t="s">
        <v>13</v>
      </c>
      <c r="H80" s="15" t="s">
        <v>20</v>
      </c>
      <c r="I80" s="15">
        <f t="shared" si="4"/>
        <v>1.8288000000000002</v>
      </c>
      <c r="J80" s="29">
        <f t="shared" si="5"/>
        <v>23.3</v>
      </c>
      <c r="K80" s="30" t="str">
        <f t="shared" si="6"/>
        <v>Normal</v>
      </c>
      <c r="L80" s="30" t="str">
        <f t="shared" si="7"/>
        <v>61+</v>
      </c>
    </row>
    <row r="81" spans="1:12" x14ac:dyDescent="0.3">
      <c r="A81" s="15" t="s">
        <v>45</v>
      </c>
      <c r="B81" s="14">
        <v>21</v>
      </c>
      <c r="C81" s="15" t="s">
        <v>36</v>
      </c>
      <c r="D81" s="28">
        <v>5.9</v>
      </c>
      <c r="E81" s="14">
        <v>61</v>
      </c>
      <c r="F81" s="15" t="s">
        <v>7</v>
      </c>
      <c r="G81" s="15" t="s">
        <v>26</v>
      </c>
      <c r="H81" s="15" t="s">
        <v>9</v>
      </c>
      <c r="I81" s="15">
        <f t="shared" si="4"/>
        <v>1.7983200000000001</v>
      </c>
      <c r="J81" s="29">
        <f t="shared" si="5"/>
        <v>18.899999999999999</v>
      </c>
      <c r="K81" s="30" t="str">
        <f t="shared" si="6"/>
        <v>Normal</v>
      </c>
      <c r="L81" s="30" t="str">
        <f t="shared" si="7"/>
        <v>21–40</v>
      </c>
    </row>
    <row r="82" spans="1:12" x14ac:dyDescent="0.3">
      <c r="A82" s="15" t="s">
        <v>135</v>
      </c>
      <c r="B82" s="14">
        <v>19</v>
      </c>
      <c r="C82" s="15" t="s">
        <v>5</v>
      </c>
      <c r="D82" s="28">
        <v>5.2</v>
      </c>
      <c r="E82" s="14">
        <v>52</v>
      </c>
      <c r="F82" s="15" t="s">
        <v>12</v>
      </c>
      <c r="G82" s="15" t="s">
        <v>8</v>
      </c>
      <c r="H82" s="15" t="s">
        <v>9</v>
      </c>
      <c r="I82" s="15">
        <f t="shared" si="4"/>
        <v>1.5849600000000001</v>
      </c>
      <c r="J82" s="29">
        <f t="shared" si="5"/>
        <v>20.7</v>
      </c>
      <c r="K82" s="30" t="str">
        <f t="shared" si="6"/>
        <v>Normal</v>
      </c>
      <c r="L82" s="30" t="str">
        <f t="shared" si="7"/>
        <v>0–20</v>
      </c>
    </row>
    <row r="83" spans="1:12" x14ac:dyDescent="0.3">
      <c r="A83" s="15" t="s">
        <v>126</v>
      </c>
      <c r="B83" s="14">
        <v>43</v>
      </c>
      <c r="C83" s="15" t="s">
        <v>5</v>
      </c>
      <c r="D83" s="14">
        <v>5</v>
      </c>
      <c r="E83" s="14">
        <v>55</v>
      </c>
      <c r="F83" s="15" t="s">
        <v>12</v>
      </c>
      <c r="G83" s="15" t="s">
        <v>26</v>
      </c>
      <c r="H83" s="15" t="s">
        <v>9</v>
      </c>
      <c r="I83" s="15">
        <f t="shared" si="4"/>
        <v>1.524</v>
      </c>
      <c r="J83" s="29">
        <f t="shared" si="5"/>
        <v>23.7</v>
      </c>
      <c r="K83" s="30" t="str">
        <f t="shared" si="6"/>
        <v>Normal</v>
      </c>
      <c r="L83" s="30" t="str">
        <f t="shared" si="7"/>
        <v>41–60</v>
      </c>
    </row>
    <row r="84" spans="1:12" x14ac:dyDescent="0.3">
      <c r="A84" s="15" t="s">
        <v>43</v>
      </c>
      <c r="B84" s="14">
        <v>24</v>
      </c>
      <c r="C84" s="15" t="s">
        <v>36</v>
      </c>
      <c r="D84" s="28">
        <v>5.7</v>
      </c>
      <c r="E84" s="14">
        <v>58</v>
      </c>
      <c r="F84" s="15" t="s">
        <v>7</v>
      </c>
      <c r="G84" s="15" t="s">
        <v>13</v>
      </c>
      <c r="H84" s="15" t="s">
        <v>9</v>
      </c>
      <c r="I84" s="15">
        <f t="shared" si="4"/>
        <v>1.7373600000000002</v>
      </c>
      <c r="J84" s="29">
        <f t="shared" si="5"/>
        <v>19.2</v>
      </c>
      <c r="K84" s="30" t="str">
        <f t="shared" si="6"/>
        <v>Normal</v>
      </c>
      <c r="L84" s="30" t="str">
        <f t="shared" si="7"/>
        <v>21–40</v>
      </c>
    </row>
    <row r="85" spans="1:12" x14ac:dyDescent="0.3">
      <c r="A85" s="15" t="s">
        <v>67</v>
      </c>
      <c r="B85" s="14">
        <v>20</v>
      </c>
      <c r="C85" s="15" t="s">
        <v>5</v>
      </c>
      <c r="D85" s="28">
        <v>5.7</v>
      </c>
      <c r="E85" s="14">
        <v>58</v>
      </c>
      <c r="F85" s="15" t="s">
        <v>12</v>
      </c>
      <c r="G85" s="15" t="s">
        <v>26</v>
      </c>
      <c r="H85" s="15" t="s">
        <v>9</v>
      </c>
      <c r="I85" s="15">
        <f t="shared" si="4"/>
        <v>1.7373600000000002</v>
      </c>
      <c r="J85" s="29">
        <f t="shared" si="5"/>
        <v>19.2</v>
      </c>
      <c r="K85" s="30" t="str">
        <f t="shared" si="6"/>
        <v>Normal</v>
      </c>
      <c r="L85" s="30" t="str">
        <f t="shared" si="7"/>
        <v>0–20</v>
      </c>
    </row>
    <row r="86" spans="1:12" x14ac:dyDescent="0.3">
      <c r="A86" s="15" t="s">
        <v>90</v>
      </c>
      <c r="B86" s="14">
        <v>20</v>
      </c>
      <c r="C86" s="15" t="s">
        <v>5</v>
      </c>
      <c r="D86" s="28">
        <v>5.7</v>
      </c>
      <c r="E86" s="14">
        <v>50</v>
      </c>
      <c r="F86" s="15" t="s">
        <v>7</v>
      </c>
      <c r="G86" s="15" t="s">
        <v>26</v>
      </c>
      <c r="H86" s="15" t="s">
        <v>9</v>
      </c>
      <c r="I86" s="15">
        <f t="shared" si="4"/>
        <v>1.7373600000000002</v>
      </c>
      <c r="J86" s="29">
        <f t="shared" si="5"/>
        <v>16.600000000000001</v>
      </c>
      <c r="K86" s="30" t="str">
        <f t="shared" si="6"/>
        <v>Underweight</v>
      </c>
      <c r="L86" s="30" t="str">
        <f t="shared" si="7"/>
        <v>0–20</v>
      </c>
    </row>
    <row r="87" spans="1:12" x14ac:dyDescent="0.3">
      <c r="A87" s="15" t="s">
        <v>111</v>
      </c>
      <c r="B87" s="14">
        <v>19</v>
      </c>
      <c r="C87" s="15" t="s">
        <v>5</v>
      </c>
      <c r="D87" s="28">
        <v>5.0999999999999996</v>
      </c>
      <c r="E87" s="14">
        <v>70</v>
      </c>
      <c r="F87" s="15" t="s">
        <v>12</v>
      </c>
      <c r="G87" s="15" t="s">
        <v>8</v>
      </c>
      <c r="H87" s="15" t="s">
        <v>14</v>
      </c>
      <c r="I87" s="15">
        <f t="shared" si="4"/>
        <v>1.5544799999999999</v>
      </c>
      <c r="J87" s="37">
        <f t="shared" si="5"/>
        <v>29</v>
      </c>
      <c r="K87" s="30" t="str">
        <f t="shared" si="6"/>
        <v>Overweight</v>
      </c>
      <c r="L87" s="30" t="str">
        <f t="shared" si="7"/>
        <v>0–20</v>
      </c>
    </row>
    <row r="88" spans="1:12" x14ac:dyDescent="0.3">
      <c r="A88" s="15" t="s">
        <v>83</v>
      </c>
      <c r="B88" s="14">
        <v>40</v>
      </c>
      <c r="C88" s="15" t="s">
        <v>5</v>
      </c>
      <c r="D88" s="28">
        <v>4.9000000000000004</v>
      </c>
      <c r="E88" s="14">
        <v>70</v>
      </c>
      <c r="F88" s="15" t="s">
        <v>12</v>
      </c>
      <c r="G88" s="15" t="s">
        <v>26</v>
      </c>
      <c r="H88" s="15" t="s">
        <v>20</v>
      </c>
      <c r="I88" s="15">
        <f t="shared" si="4"/>
        <v>1.4935200000000002</v>
      </c>
      <c r="J88" s="32">
        <f t="shared" si="5"/>
        <v>31.4</v>
      </c>
      <c r="K88" s="30" t="str">
        <f t="shared" si="6"/>
        <v>Obese</v>
      </c>
      <c r="L88" s="30" t="str">
        <f t="shared" si="7"/>
        <v>21–40</v>
      </c>
    </row>
    <row r="89" spans="1:12" x14ac:dyDescent="0.3">
      <c r="A89" s="15" t="s">
        <v>138</v>
      </c>
      <c r="B89" s="14">
        <v>20</v>
      </c>
      <c r="C89" s="15" t="s">
        <v>5</v>
      </c>
      <c r="D89" s="28">
        <v>5</v>
      </c>
      <c r="E89" s="14">
        <v>48</v>
      </c>
      <c r="F89" s="15" t="s">
        <v>12</v>
      </c>
      <c r="G89" s="15" t="s">
        <v>26</v>
      </c>
      <c r="H89" s="15" t="s">
        <v>14</v>
      </c>
      <c r="I89" s="15">
        <f t="shared" si="4"/>
        <v>1.524</v>
      </c>
      <c r="J89" s="29">
        <f t="shared" si="5"/>
        <v>20.7</v>
      </c>
      <c r="K89" s="30" t="str">
        <f t="shared" si="6"/>
        <v>Normal</v>
      </c>
      <c r="L89" s="30" t="str">
        <f t="shared" si="7"/>
        <v>0–20</v>
      </c>
    </row>
    <row r="90" spans="1:12" x14ac:dyDescent="0.3">
      <c r="A90" s="15" t="s">
        <v>127</v>
      </c>
      <c r="B90" s="14">
        <v>50</v>
      </c>
      <c r="C90" s="15" t="s">
        <v>36</v>
      </c>
      <c r="D90" s="14">
        <v>5</v>
      </c>
      <c r="E90" s="14">
        <v>56</v>
      </c>
      <c r="F90" s="15" t="s">
        <v>12</v>
      </c>
      <c r="G90" s="15" t="s">
        <v>26</v>
      </c>
      <c r="H90" s="15" t="s">
        <v>9</v>
      </c>
      <c r="I90" s="15">
        <f t="shared" si="4"/>
        <v>1.524</v>
      </c>
      <c r="J90" s="29">
        <f t="shared" si="5"/>
        <v>24.1</v>
      </c>
      <c r="K90" s="30" t="str">
        <f t="shared" si="6"/>
        <v>Normal</v>
      </c>
      <c r="L90" s="30" t="str">
        <f t="shared" si="7"/>
        <v>41–60</v>
      </c>
    </row>
    <row r="91" spans="1:12" x14ac:dyDescent="0.3">
      <c r="A91" s="15" t="s">
        <v>96</v>
      </c>
      <c r="B91" s="14">
        <v>19</v>
      </c>
      <c r="C91" s="15" t="s">
        <v>5</v>
      </c>
      <c r="D91" s="14">
        <v>4.9000000000000004</v>
      </c>
      <c r="E91" s="14">
        <v>50</v>
      </c>
      <c r="F91" s="15" t="s">
        <v>12</v>
      </c>
      <c r="G91" s="15" t="s">
        <v>8</v>
      </c>
      <c r="H91" s="15" t="s">
        <v>9</v>
      </c>
      <c r="I91" s="15">
        <f t="shared" si="4"/>
        <v>1.4935200000000002</v>
      </c>
      <c r="J91" s="29">
        <f t="shared" si="5"/>
        <v>22.4</v>
      </c>
      <c r="K91" s="30" t="str">
        <f t="shared" si="6"/>
        <v>Normal</v>
      </c>
      <c r="L91" s="30" t="str">
        <f t="shared" si="7"/>
        <v>0–20</v>
      </c>
    </row>
    <row r="92" spans="1:12" x14ac:dyDescent="0.3">
      <c r="A92" s="15" t="s">
        <v>58</v>
      </c>
      <c r="B92" s="14">
        <v>20</v>
      </c>
      <c r="C92" s="15" t="s">
        <v>36</v>
      </c>
      <c r="D92" s="28">
        <v>5.4</v>
      </c>
      <c r="E92" s="14">
        <v>60</v>
      </c>
      <c r="F92" s="15" t="s">
        <v>12</v>
      </c>
      <c r="G92" s="15" t="s">
        <v>26</v>
      </c>
      <c r="H92" s="15" t="s">
        <v>14</v>
      </c>
      <c r="I92" s="15">
        <f t="shared" si="4"/>
        <v>1.6459200000000003</v>
      </c>
      <c r="J92" s="29">
        <f t="shared" si="5"/>
        <v>22.1</v>
      </c>
      <c r="K92" s="30" t="str">
        <f t="shared" si="6"/>
        <v>Normal</v>
      </c>
      <c r="L92" s="30" t="str">
        <f t="shared" si="7"/>
        <v>0–20</v>
      </c>
    </row>
    <row r="93" spans="1:12" x14ac:dyDescent="0.3">
      <c r="A93" s="15" t="s">
        <v>137</v>
      </c>
      <c r="B93" s="14">
        <v>20</v>
      </c>
      <c r="C93" s="15" t="s">
        <v>5</v>
      </c>
      <c r="D93" s="14">
        <v>5</v>
      </c>
      <c r="E93" s="14">
        <v>81</v>
      </c>
      <c r="F93" s="15" t="s">
        <v>12</v>
      </c>
      <c r="G93" s="15" t="s">
        <v>13</v>
      </c>
      <c r="H93" s="15" t="s">
        <v>14</v>
      </c>
      <c r="I93" s="15">
        <f t="shared" si="4"/>
        <v>1.524</v>
      </c>
      <c r="J93" s="32">
        <f t="shared" si="5"/>
        <v>34.9</v>
      </c>
      <c r="K93" s="30" t="str">
        <f t="shared" si="6"/>
        <v>Obese</v>
      </c>
      <c r="L93" s="30" t="str">
        <f t="shared" si="7"/>
        <v>0–20</v>
      </c>
    </row>
    <row r="94" spans="1:12" x14ac:dyDescent="0.3">
      <c r="A94" s="15" t="s">
        <v>38</v>
      </c>
      <c r="B94" s="14">
        <v>20</v>
      </c>
      <c r="C94" s="15" t="s">
        <v>5</v>
      </c>
      <c r="D94" s="14">
        <v>4.5</v>
      </c>
      <c r="E94" s="14">
        <v>58</v>
      </c>
      <c r="F94" s="15" t="s">
        <v>12</v>
      </c>
      <c r="G94" s="15" t="s">
        <v>26</v>
      </c>
      <c r="H94" s="15" t="s">
        <v>9</v>
      </c>
      <c r="I94" s="15">
        <f t="shared" si="4"/>
        <v>1.3716000000000002</v>
      </c>
      <c r="J94" s="32">
        <f t="shared" si="5"/>
        <v>30.8</v>
      </c>
      <c r="K94" s="30" t="str">
        <f t="shared" si="6"/>
        <v>Obese</v>
      </c>
      <c r="L94" s="30" t="str">
        <f t="shared" si="7"/>
        <v>0–20</v>
      </c>
    </row>
    <row r="95" spans="1:12" x14ac:dyDescent="0.3">
      <c r="A95" s="15" t="s">
        <v>34</v>
      </c>
      <c r="B95" s="14">
        <v>19</v>
      </c>
      <c r="C95" s="15" t="s">
        <v>5</v>
      </c>
      <c r="D95" s="14">
        <v>5.7</v>
      </c>
      <c r="E95" s="14">
        <v>57</v>
      </c>
      <c r="F95" s="15" t="s">
        <v>25</v>
      </c>
      <c r="G95" s="15" t="s">
        <v>26</v>
      </c>
      <c r="H95" s="15" t="s">
        <v>9</v>
      </c>
      <c r="I95" s="15">
        <f t="shared" si="4"/>
        <v>1.7373600000000002</v>
      </c>
      <c r="J95" s="29">
        <f t="shared" si="5"/>
        <v>18.899999999999999</v>
      </c>
      <c r="K95" s="30" t="str">
        <f t="shared" si="6"/>
        <v>Normal</v>
      </c>
      <c r="L95" s="30" t="str">
        <f t="shared" si="7"/>
        <v>0–20</v>
      </c>
    </row>
    <row r="96" spans="1:12" x14ac:dyDescent="0.3">
      <c r="A96" s="15" t="s">
        <v>10</v>
      </c>
      <c r="B96" s="14">
        <v>20</v>
      </c>
      <c r="C96" s="15" t="s">
        <v>5</v>
      </c>
      <c r="D96" s="28">
        <v>5.8</v>
      </c>
      <c r="E96" s="14">
        <v>75</v>
      </c>
      <c r="F96" s="15" t="s">
        <v>12</v>
      </c>
      <c r="G96" s="15" t="s">
        <v>13</v>
      </c>
      <c r="H96" s="15" t="s">
        <v>14</v>
      </c>
      <c r="I96" s="15">
        <f t="shared" si="4"/>
        <v>1.7678400000000001</v>
      </c>
      <c r="J96" s="29">
        <f t="shared" si="5"/>
        <v>24</v>
      </c>
      <c r="K96" s="30" t="str">
        <f t="shared" si="6"/>
        <v>Normal</v>
      </c>
      <c r="L96" s="30" t="str">
        <f t="shared" si="7"/>
        <v>0–20</v>
      </c>
    </row>
    <row r="97" spans="1:15" x14ac:dyDescent="0.3">
      <c r="A97" s="15" t="s">
        <v>130</v>
      </c>
      <c r="B97" s="14">
        <v>20</v>
      </c>
      <c r="C97" s="15" t="s">
        <v>5</v>
      </c>
      <c r="D97" s="28">
        <v>5.3</v>
      </c>
      <c r="E97" s="14">
        <v>43</v>
      </c>
      <c r="F97" s="15" t="s">
        <v>12</v>
      </c>
      <c r="G97" s="15" t="s">
        <v>13</v>
      </c>
      <c r="H97" s="15" t="s">
        <v>14</v>
      </c>
      <c r="I97" s="15">
        <f t="shared" si="4"/>
        <v>1.61544</v>
      </c>
      <c r="J97" s="29">
        <f t="shared" si="5"/>
        <v>16.5</v>
      </c>
      <c r="K97" s="30" t="str">
        <f t="shared" si="6"/>
        <v>Underweight</v>
      </c>
      <c r="L97" s="30" t="str">
        <f t="shared" si="7"/>
        <v>0–20</v>
      </c>
    </row>
    <row r="98" spans="1:15" x14ac:dyDescent="0.3">
      <c r="A98" s="15" t="s">
        <v>104</v>
      </c>
      <c r="B98" s="14">
        <v>19</v>
      </c>
      <c r="C98" s="15" t="s">
        <v>5</v>
      </c>
      <c r="D98" s="14">
        <v>5</v>
      </c>
      <c r="E98" s="14">
        <v>48</v>
      </c>
      <c r="F98" s="15" t="s">
        <v>12</v>
      </c>
      <c r="G98" s="15" t="s">
        <v>13</v>
      </c>
      <c r="H98" s="15" t="s">
        <v>14</v>
      </c>
      <c r="I98" s="15">
        <f t="shared" si="4"/>
        <v>1.524</v>
      </c>
      <c r="J98" s="29">
        <f t="shared" si="5"/>
        <v>20.7</v>
      </c>
      <c r="K98" s="30" t="str">
        <f t="shared" si="6"/>
        <v>Normal</v>
      </c>
      <c r="L98" s="30" t="str">
        <f t="shared" si="7"/>
        <v>0–20</v>
      </c>
    </row>
    <row r="99" spans="1:15" x14ac:dyDescent="0.3">
      <c r="A99" s="15" t="s">
        <v>133</v>
      </c>
      <c r="B99" s="14">
        <v>20</v>
      </c>
      <c r="C99" s="15" t="s">
        <v>5</v>
      </c>
      <c r="D99" s="28">
        <v>5.4</v>
      </c>
      <c r="E99" s="14">
        <v>52</v>
      </c>
      <c r="F99" s="15" t="s">
        <v>25</v>
      </c>
      <c r="G99" s="15" t="s">
        <v>26</v>
      </c>
      <c r="H99" s="15" t="s">
        <v>9</v>
      </c>
      <c r="I99" s="15">
        <f t="shared" si="4"/>
        <v>1.6459200000000003</v>
      </c>
      <c r="J99" s="29">
        <f t="shared" si="5"/>
        <v>19.2</v>
      </c>
      <c r="K99" s="30" t="str">
        <f t="shared" si="6"/>
        <v>Normal</v>
      </c>
      <c r="L99" s="30" t="str">
        <f t="shared" si="7"/>
        <v>0–20</v>
      </c>
    </row>
    <row r="100" spans="1:15" x14ac:dyDescent="0.3">
      <c r="A100" s="15" t="s">
        <v>47</v>
      </c>
      <c r="B100" s="14">
        <v>20</v>
      </c>
      <c r="C100" s="15" t="s">
        <v>5</v>
      </c>
      <c r="D100" s="28">
        <v>5</v>
      </c>
      <c r="E100" s="14">
        <v>62</v>
      </c>
      <c r="F100" s="15" t="s">
        <v>7</v>
      </c>
      <c r="G100" s="15" t="s">
        <v>13</v>
      </c>
      <c r="H100" s="15" t="s">
        <v>14</v>
      </c>
      <c r="I100" s="15">
        <f t="shared" si="4"/>
        <v>1.524</v>
      </c>
      <c r="J100" s="37">
        <f t="shared" si="5"/>
        <v>26.7</v>
      </c>
      <c r="K100" s="30" t="str">
        <f t="shared" si="6"/>
        <v>Overweight</v>
      </c>
      <c r="L100" s="30" t="str">
        <f t="shared" si="7"/>
        <v>0–20</v>
      </c>
    </row>
    <row r="101" spans="1:15" x14ac:dyDescent="0.3">
      <c r="A101" s="15" t="s">
        <v>37</v>
      </c>
      <c r="B101" s="14">
        <v>21</v>
      </c>
      <c r="C101" s="15" t="s">
        <v>36</v>
      </c>
      <c r="D101" s="14">
        <v>5.8</v>
      </c>
      <c r="E101" s="14">
        <v>73</v>
      </c>
      <c r="F101" s="15" t="s">
        <v>12</v>
      </c>
      <c r="G101" s="15" t="s">
        <v>22</v>
      </c>
      <c r="H101" s="15" t="s">
        <v>9</v>
      </c>
      <c r="I101" s="15">
        <f t="shared" si="4"/>
        <v>1.7678400000000001</v>
      </c>
      <c r="J101" s="29">
        <f t="shared" si="5"/>
        <v>23.4</v>
      </c>
      <c r="K101" s="30" t="str">
        <f t="shared" si="6"/>
        <v>Normal</v>
      </c>
      <c r="L101" s="30" t="str">
        <f t="shared" si="7"/>
        <v>21–40</v>
      </c>
    </row>
    <row r="102" spans="1:15" x14ac:dyDescent="0.3">
      <c r="A102" s="15" t="s">
        <v>132</v>
      </c>
      <c r="B102" s="14">
        <v>23</v>
      </c>
      <c r="C102" s="15" t="s">
        <v>36</v>
      </c>
      <c r="D102" s="28">
        <v>5.9</v>
      </c>
      <c r="E102" s="14">
        <v>60</v>
      </c>
      <c r="F102" s="15" t="s">
        <v>7</v>
      </c>
      <c r="G102" s="15" t="s">
        <v>26</v>
      </c>
      <c r="H102" s="15" t="s">
        <v>9</v>
      </c>
      <c r="I102" s="15">
        <f t="shared" si="4"/>
        <v>1.7983200000000001</v>
      </c>
      <c r="J102" s="29">
        <f t="shared" si="5"/>
        <v>18.600000000000001</v>
      </c>
      <c r="K102" s="30" t="str">
        <f t="shared" si="6"/>
        <v>Normal</v>
      </c>
      <c r="L102" s="30" t="str">
        <f t="shared" si="7"/>
        <v>21–40</v>
      </c>
    </row>
    <row r="103" spans="1:15" x14ac:dyDescent="0.3">
      <c r="A103" s="15" t="s">
        <v>106</v>
      </c>
      <c r="B103" s="14">
        <v>19</v>
      </c>
      <c r="C103" s="15" t="s">
        <v>5</v>
      </c>
      <c r="D103" s="28">
        <v>5.2</v>
      </c>
      <c r="E103" s="14">
        <v>50</v>
      </c>
      <c r="F103" s="15" t="s">
        <v>25</v>
      </c>
      <c r="G103" s="15" t="s">
        <v>26</v>
      </c>
      <c r="H103" s="15" t="s">
        <v>14</v>
      </c>
      <c r="I103" s="15">
        <f t="shared" si="4"/>
        <v>1.5849600000000001</v>
      </c>
      <c r="J103" s="29">
        <f t="shared" si="5"/>
        <v>19.899999999999999</v>
      </c>
      <c r="K103" s="30" t="str">
        <f t="shared" si="6"/>
        <v>Normal</v>
      </c>
      <c r="L103" s="30" t="str">
        <f t="shared" si="7"/>
        <v>0–20</v>
      </c>
    </row>
    <row r="104" spans="1:15" x14ac:dyDescent="0.3">
      <c r="A104" s="15" t="s">
        <v>54</v>
      </c>
      <c r="B104" s="14">
        <v>24</v>
      </c>
      <c r="C104" s="15" t="s">
        <v>36</v>
      </c>
      <c r="D104" s="28">
        <v>5.6</v>
      </c>
      <c r="E104" s="14">
        <v>68</v>
      </c>
      <c r="F104" s="15" t="s">
        <v>7</v>
      </c>
      <c r="G104" s="15" t="s">
        <v>8</v>
      </c>
      <c r="H104" s="15" t="s">
        <v>9</v>
      </c>
      <c r="I104" s="15">
        <f t="shared" si="4"/>
        <v>1.70688</v>
      </c>
      <c r="J104" s="29">
        <f t="shared" si="5"/>
        <v>23.3</v>
      </c>
      <c r="K104" s="30" t="str">
        <f t="shared" si="6"/>
        <v>Normal</v>
      </c>
      <c r="L104" s="30" t="str">
        <f t="shared" si="7"/>
        <v>21–40</v>
      </c>
    </row>
    <row r="105" spans="1:15" x14ac:dyDescent="0.3">
      <c r="A105" s="15" t="s">
        <v>68</v>
      </c>
      <c r="B105" s="14">
        <v>47</v>
      </c>
      <c r="C105" s="15" t="s">
        <v>5</v>
      </c>
      <c r="D105" s="28">
        <v>5.6</v>
      </c>
      <c r="E105" s="14">
        <v>70</v>
      </c>
      <c r="F105" s="15" t="s">
        <v>25</v>
      </c>
      <c r="G105" s="15" t="s">
        <v>26</v>
      </c>
      <c r="H105" s="15" t="s">
        <v>20</v>
      </c>
      <c r="I105" s="15">
        <f t="shared" si="4"/>
        <v>1.70688</v>
      </c>
      <c r="J105" s="29">
        <f t="shared" si="5"/>
        <v>24</v>
      </c>
      <c r="K105" s="30" t="str">
        <f t="shared" si="6"/>
        <v>Normal</v>
      </c>
      <c r="L105" s="30" t="str">
        <f t="shared" si="7"/>
        <v>41–60</v>
      </c>
    </row>
    <row r="106" spans="1:15" x14ac:dyDescent="0.3">
      <c r="A106" s="15" t="s">
        <v>4</v>
      </c>
      <c r="B106" s="14">
        <v>18</v>
      </c>
      <c r="C106" s="15" t="s">
        <v>5</v>
      </c>
      <c r="D106" s="28">
        <v>5</v>
      </c>
      <c r="E106" s="14">
        <v>65</v>
      </c>
      <c r="F106" s="15" t="s">
        <v>7</v>
      </c>
      <c r="G106" s="15" t="s">
        <v>8</v>
      </c>
      <c r="H106" s="15" t="s">
        <v>9</v>
      </c>
      <c r="I106" s="15">
        <f t="shared" si="4"/>
        <v>1.524</v>
      </c>
      <c r="J106" s="37">
        <f t="shared" si="5"/>
        <v>28</v>
      </c>
      <c r="K106" s="30" t="str">
        <f t="shared" si="6"/>
        <v>Overweight</v>
      </c>
      <c r="L106" s="30" t="str">
        <f t="shared" si="7"/>
        <v>0–20</v>
      </c>
    </row>
    <row r="107" spans="1:15" x14ac:dyDescent="0.3">
      <c r="A107" s="15" t="s">
        <v>115</v>
      </c>
      <c r="B107" s="14">
        <v>19</v>
      </c>
      <c r="C107" s="15" t="s">
        <v>36</v>
      </c>
      <c r="D107" s="14">
        <v>6</v>
      </c>
      <c r="E107" s="14">
        <v>75</v>
      </c>
      <c r="F107" s="15" t="s">
        <v>12</v>
      </c>
      <c r="G107" s="15" t="s">
        <v>8</v>
      </c>
      <c r="H107" s="15" t="s">
        <v>9</v>
      </c>
      <c r="I107" s="15">
        <f t="shared" si="4"/>
        <v>1.8288000000000002</v>
      </c>
      <c r="J107" s="29">
        <f t="shared" si="5"/>
        <v>22.4</v>
      </c>
      <c r="K107" s="30" t="str">
        <f t="shared" si="6"/>
        <v>Normal</v>
      </c>
      <c r="L107" s="30" t="str">
        <f t="shared" si="7"/>
        <v>0–20</v>
      </c>
    </row>
    <row r="108" spans="1:15" x14ac:dyDescent="0.3">
      <c r="A108" s="15" t="s">
        <v>57</v>
      </c>
      <c r="B108" s="14">
        <v>23</v>
      </c>
      <c r="C108" s="15" t="s">
        <v>36</v>
      </c>
      <c r="D108" s="28">
        <v>5.9</v>
      </c>
      <c r="E108" s="14">
        <v>60</v>
      </c>
      <c r="F108" s="15" t="s">
        <v>7</v>
      </c>
      <c r="G108" s="15" t="s">
        <v>26</v>
      </c>
      <c r="H108" s="15" t="s">
        <v>9</v>
      </c>
      <c r="I108" s="15">
        <f t="shared" si="4"/>
        <v>1.7983200000000001</v>
      </c>
      <c r="J108" s="29">
        <f t="shared" si="5"/>
        <v>18.600000000000001</v>
      </c>
      <c r="K108" s="30" t="str">
        <f t="shared" si="6"/>
        <v>Normal</v>
      </c>
      <c r="L108" s="30" t="str">
        <f t="shared" si="7"/>
        <v>21–40</v>
      </c>
    </row>
    <row r="111" spans="1:15" x14ac:dyDescent="0.3">
      <c r="N111"/>
      <c r="O111"/>
    </row>
    <row r="112" spans="1:15" x14ac:dyDescent="0.3">
      <c r="I112" s="57" t="s">
        <v>179</v>
      </c>
      <c r="N112" s="58" t="s">
        <v>180</v>
      </c>
    </row>
    <row r="113" spans="1:16" x14ac:dyDescent="0.3">
      <c r="A113" s="10" t="s">
        <v>151</v>
      </c>
      <c r="B113" s="11" t="s">
        <v>152</v>
      </c>
      <c r="D113" s="18" t="s">
        <v>157</v>
      </c>
      <c r="E113" s="19"/>
      <c r="F113" s="52"/>
      <c r="G113" s="13"/>
      <c r="I113" s="87" t="s">
        <v>158</v>
      </c>
      <c r="J113" s="89" t="s">
        <v>160</v>
      </c>
      <c r="K113" s="90" t="s">
        <v>162</v>
      </c>
      <c r="L113" s="5" t="s">
        <v>161</v>
      </c>
      <c r="N113" s="65" t="s">
        <v>0</v>
      </c>
      <c r="O113" s="8" t="s" vm="1">
        <v>178</v>
      </c>
      <c r="P113"/>
    </row>
    <row r="114" spans="1:16" x14ac:dyDescent="0.3">
      <c r="A114" s="12" t="s">
        <v>147</v>
      </c>
      <c r="B114" s="25">
        <f>COUNTIF(K2:K108,"Underweight")</f>
        <v>22</v>
      </c>
      <c r="D114" s="53">
        <f>CORREL(J2:J108, B2:B108)</f>
        <v>0.2173196794844833</v>
      </c>
      <c r="E114" s="51"/>
      <c r="F114" s="21"/>
      <c r="G114" s="41"/>
      <c r="I114" s="92" t="s">
        <v>148</v>
      </c>
      <c r="J114" s="84">
        <v>1610</v>
      </c>
      <c r="K114" s="91">
        <v>1265</v>
      </c>
      <c r="L114" s="5">
        <v>59</v>
      </c>
      <c r="N114"/>
      <c r="O114"/>
      <c r="P114"/>
    </row>
    <row r="115" spans="1:16" x14ac:dyDescent="0.3">
      <c r="A115" s="12" t="s">
        <v>153</v>
      </c>
      <c r="B115" s="26">
        <f>COUNTIF(K2:K108,"Normal")</f>
        <v>61</v>
      </c>
      <c r="D115" s="20" t="s">
        <v>156</v>
      </c>
      <c r="E115" s="51"/>
      <c r="F115" s="21"/>
      <c r="G115" s="22"/>
      <c r="I115" s="93" t="s">
        <v>150</v>
      </c>
      <c r="J115" s="85">
        <v>198</v>
      </c>
      <c r="K115">
        <v>258</v>
      </c>
      <c r="L115" s="81">
        <v>7</v>
      </c>
      <c r="N115" s="65" t="s">
        <v>158</v>
      </c>
      <c r="O115" s="8" t="s">
        <v>177</v>
      </c>
      <c r="P115"/>
    </row>
    <row r="116" spans="1:16" x14ac:dyDescent="0.3">
      <c r="A116" s="12" t="s">
        <v>149</v>
      </c>
      <c r="B116" s="26">
        <f>COUNTIF(K2:K108,"Overweight")</f>
        <v>18</v>
      </c>
      <c r="D116" s="20" t="s">
        <v>154</v>
      </c>
      <c r="E116" s="51"/>
      <c r="F116" s="21"/>
      <c r="G116" s="22"/>
      <c r="I116" s="93" t="s">
        <v>149</v>
      </c>
      <c r="J116" s="85">
        <v>442</v>
      </c>
      <c r="K116">
        <v>482.7</v>
      </c>
      <c r="L116" s="81">
        <v>18</v>
      </c>
      <c r="N116" s="64" t="s">
        <v>173</v>
      </c>
      <c r="O116" s="8">
        <v>1363.4</v>
      </c>
      <c r="P116"/>
    </row>
    <row r="117" spans="1:16" x14ac:dyDescent="0.3">
      <c r="A117" s="13" t="s">
        <v>150</v>
      </c>
      <c r="B117" s="27">
        <f>COUNTIF(K2:K108,"Obese")</f>
        <v>6</v>
      </c>
      <c r="D117" s="23" t="s">
        <v>155</v>
      </c>
      <c r="E117" s="16"/>
      <c r="F117" s="24"/>
      <c r="G117" s="17"/>
      <c r="I117" s="94" t="s">
        <v>147</v>
      </c>
      <c r="J117" s="85">
        <v>487</v>
      </c>
      <c r="K117">
        <v>365.4</v>
      </c>
      <c r="L117" s="81">
        <v>23</v>
      </c>
      <c r="N117" s="64" t="s">
        <v>174</v>
      </c>
      <c r="O117" s="8">
        <v>628.1</v>
      </c>
      <c r="P117"/>
    </row>
    <row r="118" spans="1:16" x14ac:dyDescent="0.3">
      <c r="A118" s="8"/>
      <c r="B118" s="8"/>
      <c r="I118" s="88" t="s">
        <v>159</v>
      </c>
      <c r="J118" s="86">
        <v>2737</v>
      </c>
      <c r="K118" s="82">
        <v>2371.1</v>
      </c>
      <c r="L118" s="83">
        <v>107</v>
      </c>
      <c r="N118" s="64" t="s">
        <v>175</v>
      </c>
      <c r="O118" s="8">
        <v>304.60000000000002</v>
      </c>
      <c r="P118"/>
    </row>
    <row r="119" spans="1:16" x14ac:dyDescent="0.3">
      <c r="A119" s="8"/>
      <c r="B119" s="8"/>
      <c r="I119"/>
      <c r="J119"/>
      <c r="K119"/>
      <c r="N119" s="64" t="s">
        <v>176</v>
      </c>
      <c r="O119" s="8">
        <v>75</v>
      </c>
      <c r="P119"/>
    </row>
    <row r="120" spans="1:16" x14ac:dyDescent="0.3">
      <c r="A120" s="38" t="s">
        <v>170</v>
      </c>
      <c r="B120" s="45">
        <f>SUM(23,59,18,7)</f>
        <v>107</v>
      </c>
      <c r="I120"/>
      <c r="J120"/>
      <c r="K120"/>
      <c r="N120" s="64" t="s">
        <v>159</v>
      </c>
      <c r="O120" s="8">
        <v>2371.1</v>
      </c>
      <c r="P120"/>
    </row>
    <row r="121" spans="1:16" x14ac:dyDescent="0.3">
      <c r="I121"/>
      <c r="J121"/>
      <c r="K121"/>
      <c r="P121"/>
    </row>
    <row r="122" spans="1:16" x14ac:dyDescent="0.3">
      <c r="I122"/>
      <c r="J122"/>
      <c r="K122"/>
      <c r="N122"/>
      <c r="O122"/>
      <c r="P122"/>
    </row>
    <row r="123" spans="1:16" x14ac:dyDescent="0.3">
      <c r="A123" s="46" t="s">
        <v>164</v>
      </c>
      <c r="B123" s="47"/>
      <c r="C123" s="48"/>
      <c r="D123" s="49"/>
      <c r="E123" s="49"/>
      <c r="F123" s="50"/>
      <c r="I123"/>
      <c r="J123"/>
      <c r="K123"/>
      <c r="N123"/>
      <c r="O123"/>
      <c r="P123"/>
    </row>
    <row r="124" spans="1:16" x14ac:dyDescent="0.3">
      <c r="A124" s="39" t="s">
        <v>166</v>
      </c>
      <c r="B124" s="56">
        <f>59 / 7</f>
        <v>8.4285714285714288</v>
      </c>
      <c r="C124" s="6" t="s">
        <v>168</v>
      </c>
      <c r="F124" s="41"/>
      <c r="I124"/>
      <c r="J124"/>
      <c r="K124"/>
      <c r="N124"/>
      <c r="O124"/>
      <c r="P124"/>
    </row>
    <row r="125" spans="1:16" x14ac:dyDescent="0.3">
      <c r="A125" s="15" t="s">
        <v>165</v>
      </c>
      <c r="B125" s="56">
        <f>ABS(23 - 18)</f>
        <v>5</v>
      </c>
      <c r="C125" s="6" t="s">
        <v>171</v>
      </c>
      <c r="F125" s="41"/>
      <c r="I125"/>
      <c r="J125"/>
      <c r="K125"/>
      <c r="N125"/>
      <c r="O125"/>
      <c r="P125"/>
    </row>
    <row r="126" spans="1:16" x14ac:dyDescent="0.3">
      <c r="A126" s="40" t="s">
        <v>167</v>
      </c>
      <c r="B126" s="56">
        <f>(7 / 107) * 100</f>
        <v>6.5420560747663545</v>
      </c>
      <c r="C126" s="42" t="s">
        <v>169</v>
      </c>
      <c r="D126" s="43"/>
      <c r="E126" s="43"/>
      <c r="F126" s="44"/>
      <c r="I126"/>
      <c r="J126"/>
      <c r="K126"/>
      <c r="N126"/>
      <c r="O126"/>
      <c r="P126"/>
    </row>
    <row r="127" spans="1:16" x14ac:dyDescent="0.3">
      <c r="I127"/>
      <c r="J127"/>
      <c r="K127"/>
      <c r="N127"/>
      <c r="O127"/>
      <c r="P127"/>
    </row>
    <row r="128" spans="1:16" x14ac:dyDescent="0.3">
      <c r="I128"/>
      <c r="J128"/>
      <c r="K128"/>
      <c r="N128"/>
      <c r="O128"/>
      <c r="P128"/>
    </row>
    <row r="129" spans="1:16" x14ac:dyDescent="0.3">
      <c r="A129" s="34" t="s">
        <v>172</v>
      </c>
      <c r="B129" s="33" t="s">
        <v>185</v>
      </c>
      <c r="D129" s="54" t="s">
        <v>181</v>
      </c>
      <c r="E129" s="55"/>
      <c r="I129"/>
      <c r="J129"/>
      <c r="K129"/>
      <c r="N129"/>
      <c r="O129"/>
      <c r="P129"/>
    </row>
    <row r="130" spans="1:16" x14ac:dyDescent="0.3">
      <c r="A130" s="14" t="s">
        <v>182</v>
      </c>
      <c r="B130" s="30">
        <f>AVERAGEIFS(J2:J108, L2:L108, "0–20")</f>
        <v>21.738095238095248</v>
      </c>
      <c r="D130" s="15" t="s">
        <v>182</v>
      </c>
      <c r="E130" s="59">
        <f>COUNTIF(L2:L108, "0–20")</f>
        <v>63</v>
      </c>
      <c r="I130"/>
      <c r="J130"/>
      <c r="K130"/>
      <c r="N130"/>
      <c r="O130"/>
      <c r="P130"/>
    </row>
    <row r="131" spans="1:16" x14ac:dyDescent="0.3">
      <c r="A131" s="14" t="s">
        <v>183</v>
      </c>
      <c r="B131" s="30">
        <f>AVERAGEIFS(J2:J108, L2:L108, "21–40")</f>
        <v>20.936666666666664</v>
      </c>
      <c r="D131" s="15" t="s">
        <v>183</v>
      </c>
      <c r="E131" s="59">
        <f>COUNTIF(L2:L108, "21–40")</f>
        <v>30</v>
      </c>
      <c r="G131" s="60" t="s">
        <v>186</v>
      </c>
      <c r="H131" s="62">
        <f>AVERAGE(J2:J108)</f>
        <v>21.866355140186919</v>
      </c>
      <c r="I131"/>
      <c r="J131"/>
      <c r="K131"/>
      <c r="N131"/>
      <c r="O131"/>
      <c r="P131"/>
    </row>
    <row r="132" spans="1:16" x14ac:dyDescent="0.3">
      <c r="A132" s="14" t="s">
        <v>184</v>
      </c>
      <c r="B132" s="30">
        <f>IFERROR(AVERAGEIFS(J2:J108, L2:L108, "41–60"), "No data")</f>
        <v>24.281818181818185</v>
      </c>
      <c r="D132" s="15" t="s">
        <v>184</v>
      </c>
      <c r="E132" s="59">
        <f>COUNTIF(L2:L108, "41–60")</f>
        <v>11</v>
      </c>
      <c r="G132" s="61" t="s">
        <v>187</v>
      </c>
      <c r="H132" s="63"/>
      <c r="I132"/>
      <c r="J132"/>
      <c r="K132"/>
      <c r="O132"/>
    </row>
    <row r="133" spans="1:16" x14ac:dyDescent="0.3">
      <c r="A133" s="14" t="s">
        <v>176</v>
      </c>
      <c r="B133" s="30">
        <f>AVERAGEIFS(J2:J108, L2:L108, "61+")</f>
        <v>25</v>
      </c>
      <c r="D133" s="15" t="s">
        <v>176</v>
      </c>
      <c r="E133" s="59">
        <f>COUNTIF(L2:L108, "61+")</f>
        <v>3</v>
      </c>
      <c r="I133"/>
      <c r="J133"/>
      <c r="K133"/>
      <c r="O133"/>
    </row>
    <row r="134" spans="1:16" x14ac:dyDescent="0.3">
      <c r="I134"/>
      <c r="J134"/>
      <c r="K134"/>
      <c r="O134"/>
    </row>
    <row r="135" spans="1:16" ht="16.2" thickBot="1" x14ac:dyDescent="0.35">
      <c r="I135"/>
      <c r="J135"/>
      <c r="K135"/>
      <c r="O135"/>
    </row>
    <row r="136" spans="1:16" x14ac:dyDescent="0.3">
      <c r="A136" s="72" t="s">
        <v>191</v>
      </c>
      <c r="B136" s="73"/>
      <c r="I136"/>
      <c r="J136"/>
      <c r="K136"/>
      <c r="O136"/>
    </row>
    <row r="137" spans="1:16" x14ac:dyDescent="0.3">
      <c r="A137" s="74" t="s">
        <v>0</v>
      </c>
      <c r="B137" s="75" t="s">
        <v>192</v>
      </c>
      <c r="I137"/>
      <c r="J137"/>
      <c r="K137"/>
      <c r="O137"/>
    </row>
    <row r="138" spans="1:16" x14ac:dyDescent="0.3">
      <c r="A138" s="76" t="s">
        <v>193</v>
      </c>
      <c r="B138" s="77" t="str">
        <f>IF(B2&lt;=20,"0–20",IF(B2&lt;=40,"21–40",IF(B2&lt;=60,"41–60","61+")))</f>
        <v>61+</v>
      </c>
      <c r="I138"/>
      <c r="J138"/>
      <c r="K138"/>
      <c r="O138"/>
    </row>
    <row r="139" spans="1:16" ht="16.2" thickBot="1" x14ac:dyDescent="0.35">
      <c r="A139" s="76" t="s">
        <v>194</v>
      </c>
      <c r="B139" s="77">
        <f>AVERAGEIFS(J2:J108, C2:C108, "Male", L2:L108, "0–20")</f>
        <v>20.316666666666666</v>
      </c>
      <c r="I139"/>
      <c r="J139"/>
      <c r="K139"/>
      <c r="O139"/>
    </row>
    <row r="140" spans="1:16" ht="21.6" thickBot="1" x14ac:dyDescent="0.45">
      <c r="A140" s="78"/>
      <c r="B140" s="66"/>
      <c r="D140" s="106" t="s">
        <v>215</v>
      </c>
      <c r="E140" s="107"/>
      <c r="F140" s="96"/>
      <c r="G140" s="95"/>
      <c r="H140" s="95"/>
      <c r="I140" s="96"/>
      <c r="J140" s="96"/>
      <c r="K140" s="96"/>
      <c r="L140" s="105"/>
      <c r="O140"/>
    </row>
    <row r="141" spans="1:16" x14ac:dyDescent="0.3">
      <c r="A141" s="76" t="s">
        <v>195</v>
      </c>
      <c r="B141" s="77">
        <f>AVERAGEIFS(J2:J108, C2:C108, "Female", L2:L108, "21–40")</f>
        <v>19.3</v>
      </c>
      <c r="D141" s="108" t="s">
        <v>203</v>
      </c>
      <c r="E141" s="109" t="s">
        <v>204</v>
      </c>
      <c r="F141" s="110" t="s">
        <v>205</v>
      </c>
      <c r="G141" s="111" t="s">
        <v>214</v>
      </c>
      <c r="H141" s="111"/>
      <c r="I141" s="112"/>
      <c r="J141" s="112"/>
      <c r="K141" s="112"/>
      <c r="L141" s="113"/>
      <c r="O141"/>
    </row>
    <row r="142" spans="1:16" x14ac:dyDescent="0.3">
      <c r="A142" s="76" t="s">
        <v>196</v>
      </c>
      <c r="B142" s="77">
        <f>AVERAGEIFS(J2:J108, C2:C108, "Male", L2:L108, "21–40")</f>
        <v>22.18823529411765</v>
      </c>
      <c r="D142" s="114" t="s">
        <v>185</v>
      </c>
      <c r="E142" s="101">
        <f>ROUND(AVERAGE(J2:J108), 1)</f>
        <v>21.9</v>
      </c>
      <c r="F142" s="102" t="s">
        <v>209</v>
      </c>
      <c r="G142" s="97" t="s">
        <v>216</v>
      </c>
      <c r="H142" s="51"/>
      <c r="I142" s="21"/>
      <c r="J142" s="21"/>
      <c r="K142" s="21"/>
      <c r="L142" s="98"/>
      <c r="O142"/>
    </row>
    <row r="143" spans="1:16" x14ac:dyDescent="0.3">
      <c r="A143" s="78"/>
      <c r="B143" s="66"/>
      <c r="D143" s="114" t="s">
        <v>206</v>
      </c>
      <c r="E143" s="101">
        <f>ROUND(COUNTIF(J2:J108, "&gt;25")/COUNTA(J2:J108)*100, 1)</f>
        <v>22.4</v>
      </c>
      <c r="F143" s="103" t="s">
        <v>210</v>
      </c>
      <c r="G143" s="97" t="s">
        <v>217</v>
      </c>
      <c r="H143" s="51"/>
      <c r="I143" s="21"/>
      <c r="J143" s="21"/>
      <c r="K143" s="21"/>
      <c r="L143" s="98"/>
      <c r="O143"/>
    </row>
    <row r="144" spans="1:16" x14ac:dyDescent="0.3">
      <c r="A144" s="76" t="s">
        <v>197</v>
      </c>
      <c r="B144" s="77">
        <f>AVERAGEIFS(J2:J108, C2:C108, "Female", L2:L108, "41–60")</f>
        <v>24.216666666666669</v>
      </c>
      <c r="D144" s="114" t="s">
        <v>207</v>
      </c>
      <c r="E144" s="101">
        <f>ROUND(COUNTIF(J2:J108, "&gt;=30")/COUNTA(J2:J108)*100, 1)</f>
        <v>5.6</v>
      </c>
      <c r="F144" s="104" t="s">
        <v>211</v>
      </c>
      <c r="G144" s="97" t="s">
        <v>218</v>
      </c>
      <c r="H144" s="51"/>
      <c r="I144" s="21"/>
      <c r="J144" s="21"/>
      <c r="K144" s="21"/>
      <c r="L144" s="98"/>
      <c r="O144"/>
    </row>
    <row r="145" spans="1:15" ht="16.2" thickBot="1" x14ac:dyDescent="0.35">
      <c r="A145" s="76" t="s">
        <v>198</v>
      </c>
      <c r="B145" s="77">
        <f>AVERAGEIFS(J2:J108, C2:C108, "Male", L2:L108, "41–60")</f>
        <v>24.359999999999996</v>
      </c>
      <c r="D145" s="115" t="s">
        <v>208</v>
      </c>
      <c r="E145" s="116">
        <f>COUNTIF(J2:J108, "&gt;40")</f>
        <v>0</v>
      </c>
      <c r="F145" s="117" t="s">
        <v>212</v>
      </c>
      <c r="G145" s="99" t="s">
        <v>213</v>
      </c>
      <c r="H145" s="68"/>
      <c r="I145" s="69"/>
      <c r="J145" s="69"/>
      <c r="K145" s="69"/>
      <c r="L145" s="100"/>
      <c r="O145"/>
    </row>
    <row r="146" spans="1:15" x14ac:dyDescent="0.3">
      <c r="A146" s="78"/>
      <c r="B146" s="66"/>
      <c r="I146"/>
      <c r="J146"/>
      <c r="K146"/>
      <c r="N146"/>
      <c r="O146"/>
    </row>
    <row r="147" spans="1:15" x14ac:dyDescent="0.3">
      <c r="A147" s="76" t="s">
        <v>199</v>
      </c>
      <c r="B147" s="77">
        <f>AVERAGEIFS(J2:J108, C2:C108, "Female", L2:L108, "61+")</f>
        <v>25.9</v>
      </c>
      <c r="I147"/>
      <c r="J147"/>
      <c r="K147"/>
      <c r="N147"/>
      <c r="O147"/>
    </row>
    <row r="148" spans="1:15" ht="16.2" thickBot="1" x14ac:dyDescent="0.35">
      <c r="A148" s="79" t="s">
        <v>200</v>
      </c>
      <c r="B148" s="80">
        <f>AVERAGEIFS(J2:J108, C2:C108, "Male", L2:L108, "61+")</f>
        <v>23.2</v>
      </c>
      <c r="I148"/>
      <c r="J148"/>
      <c r="K148"/>
      <c r="N148"/>
      <c r="O148"/>
    </row>
    <row r="149" spans="1:15" x14ac:dyDescent="0.3">
      <c r="I149"/>
      <c r="J149"/>
      <c r="K149"/>
      <c r="N149"/>
      <c r="O149"/>
    </row>
    <row r="150" spans="1:15" ht="16.2" thickBot="1" x14ac:dyDescent="0.35">
      <c r="I150"/>
      <c r="J150"/>
      <c r="K150"/>
      <c r="N150"/>
      <c r="O150"/>
    </row>
    <row r="151" spans="1:15" ht="21" x14ac:dyDescent="0.4">
      <c r="A151" s="118" t="s">
        <v>188</v>
      </c>
      <c r="B151" s="119"/>
      <c r="C151" s="119"/>
      <c r="D151" s="120"/>
      <c r="E151" s="121"/>
      <c r="J151"/>
      <c r="K151"/>
      <c r="N151"/>
      <c r="O151"/>
    </row>
    <row r="152" spans="1:15" x14ac:dyDescent="0.3">
      <c r="A152" s="70" t="s">
        <v>201</v>
      </c>
      <c r="B152" s="51"/>
      <c r="C152" s="21"/>
      <c r="D152" s="51"/>
      <c r="E152" s="66"/>
      <c r="J152"/>
      <c r="K152"/>
      <c r="N152"/>
      <c r="O152"/>
    </row>
    <row r="153" spans="1:15" x14ac:dyDescent="0.3">
      <c r="A153" s="70" t="s">
        <v>189</v>
      </c>
      <c r="B153" s="51"/>
      <c r="C153" s="21"/>
      <c r="D153" s="51"/>
      <c r="E153" s="66"/>
      <c r="J153"/>
      <c r="K153"/>
      <c r="N153"/>
      <c r="O153"/>
    </row>
    <row r="154" spans="1:15" x14ac:dyDescent="0.3">
      <c r="A154" s="70" t="s">
        <v>190</v>
      </c>
      <c r="B154" s="51"/>
      <c r="C154" s="21"/>
      <c r="D154" s="51"/>
      <c r="E154" s="66"/>
      <c r="J154"/>
      <c r="K154"/>
      <c r="N154"/>
      <c r="O154"/>
    </row>
    <row r="155" spans="1:15" ht="16.2" thickBot="1" x14ac:dyDescent="0.35">
      <c r="A155" s="71" t="s">
        <v>202</v>
      </c>
      <c r="B155" s="68"/>
      <c r="C155" s="69"/>
      <c r="D155" s="68"/>
      <c r="E155" s="67"/>
      <c r="J155"/>
      <c r="K155"/>
      <c r="N155"/>
      <c r="O155"/>
    </row>
    <row r="156" spans="1:15" x14ac:dyDescent="0.3">
      <c r="J156"/>
      <c r="K156"/>
      <c r="N156"/>
      <c r="O156"/>
    </row>
    <row r="157" spans="1:15" x14ac:dyDescent="0.3">
      <c r="I157"/>
      <c r="J157"/>
      <c r="K157"/>
      <c r="N157"/>
      <c r="O157"/>
    </row>
    <row r="158" spans="1:15" x14ac:dyDescent="0.3">
      <c r="N158"/>
      <c r="O158"/>
    </row>
    <row r="159" spans="1:15" x14ac:dyDescent="0.3">
      <c r="N159"/>
      <c r="O159"/>
    </row>
    <row r="160" spans="1:15" x14ac:dyDescent="0.3">
      <c r="N160"/>
      <c r="O160"/>
    </row>
    <row r="161" spans="9:15" x14ac:dyDescent="0.3">
      <c r="N161"/>
      <c r="O161"/>
    </row>
    <row r="162" spans="9:15" x14ac:dyDescent="0.3">
      <c r="N162"/>
      <c r="O162"/>
    </row>
    <row r="163" spans="9:15" x14ac:dyDescent="0.3">
      <c r="N163"/>
      <c r="O163"/>
    </row>
    <row r="164" spans="9:15" x14ac:dyDescent="0.3">
      <c r="I164"/>
      <c r="J164"/>
      <c r="K164"/>
      <c r="N164"/>
      <c r="O164"/>
    </row>
    <row r="165" spans="9:15" x14ac:dyDescent="0.3">
      <c r="I165"/>
      <c r="J165"/>
      <c r="K165"/>
      <c r="N165"/>
      <c r="O165"/>
    </row>
    <row r="166" spans="9:15" x14ac:dyDescent="0.3">
      <c r="I166"/>
      <c r="J166"/>
      <c r="K166"/>
      <c r="N166"/>
      <c r="O166"/>
    </row>
    <row r="167" spans="9:15" x14ac:dyDescent="0.3">
      <c r="I167"/>
      <c r="J167"/>
      <c r="K167"/>
      <c r="N167"/>
      <c r="O167"/>
    </row>
    <row r="168" spans="9:15" x14ac:dyDescent="0.3">
      <c r="I168"/>
      <c r="J168"/>
      <c r="K168"/>
      <c r="N168"/>
      <c r="O168"/>
    </row>
    <row r="169" spans="9:15" x14ac:dyDescent="0.3">
      <c r="I169"/>
      <c r="J169"/>
      <c r="K169"/>
      <c r="N169"/>
      <c r="O169"/>
    </row>
    <row r="170" spans="9:15" x14ac:dyDescent="0.3">
      <c r="I170"/>
      <c r="J170"/>
      <c r="K170"/>
      <c r="N170"/>
      <c r="O170"/>
    </row>
    <row r="171" spans="9:15" x14ac:dyDescent="0.3">
      <c r="I171"/>
      <c r="J171"/>
      <c r="K171"/>
      <c r="N171"/>
      <c r="O171"/>
    </row>
    <row r="172" spans="9:15" x14ac:dyDescent="0.3">
      <c r="I172"/>
      <c r="J172"/>
      <c r="K172"/>
      <c r="N172"/>
      <c r="O172"/>
    </row>
    <row r="173" spans="9:15" x14ac:dyDescent="0.3">
      <c r="I173"/>
      <c r="J173"/>
      <c r="K173"/>
      <c r="N173"/>
      <c r="O173"/>
    </row>
    <row r="174" spans="9:15" x14ac:dyDescent="0.3">
      <c r="I174"/>
      <c r="J174"/>
      <c r="K174"/>
      <c r="N174"/>
      <c r="O174"/>
    </row>
    <row r="175" spans="9:15" x14ac:dyDescent="0.3">
      <c r="I175"/>
      <c r="J175"/>
      <c r="K175"/>
      <c r="N175"/>
      <c r="O175"/>
    </row>
    <row r="176" spans="9:15" x14ac:dyDescent="0.3">
      <c r="I176"/>
      <c r="J176"/>
      <c r="K176"/>
      <c r="N176"/>
      <c r="O176"/>
    </row>
    <row r="177" spans="9:15" x14ac:dyDescent="0.3">
      <c r="I177"/>
      <c r="J177"/>
      <c r="K177"/>
      <c r="N177"/>
      <c r="O177"/>
    </row>
    <row r="178" spans="9:15" x14ac:dyDescent="0.3">
      <c r="I178"/>
      <c r="J178"/>
      <c r="K178"/>
      <c r="N178"/>
      <c r="O178"/>
    </row>
    <row r="179" spans="9:15" x14ac:dyDescent="0.3">
      <c r="I179"/>
      <c r="J179"/>
      <c r="K179"/>
      <c r="N179"/>
      <c r="O179"/>
    </row>
    <row r="180" spans="9:15" x14ac:dyDescent="0.3">
      <c r="I180"/>
      <c r="J180"/>
      <c r="K180"/>
      <c r="N180"/>
      <c r="O180"/>
    </row>
    <row r="181" spans="9:15" x14ac:dyDescent="0.3">
      <c r="I181"/>
      <c r="J181"/>
      <c r="K181"/>
      <c r="N181"/>
      <c r="O181"/>
    </row>
    <row r="182" spans="9:15" x14ac:dyDescent="0.3">
      <c r="I182"/>
      <c r="J182"/>
      <c r="K182"/>
      <c r="N182"/>
      <c r="O182"/>
    </row>
    <row r="183" spans="9:15" x14ac:dyDescent="0.3">
      <c r="I183"/>
      <c r="J183"/>
      <c r="K183"/>
      <c r="N183"/>
      <c r="O183"/>
    </row>
    <row r="184" spans="9:15" x14ac:dyDescent="0.3">
      <c r="I184"/>
      <c r="J184"/>
      <c r="K184"/>
      <c r="N184"/>
      <c r="O184"/>
    </row>
    <row r="185" spans="9:15" x14ac:dyDescent="0.3">
      <c r="I185"/>
      <c r="J185"/>
      <c r="K185"/>
      <c r="N185"/>
      <c r="O185"/>
    </row>
    <row r="186" spans="9:15" x14ac:dyDescent="0.3">
      <c r="I186"/>
      <c r="J186"/>
      <c r="K186"/>
      <c r="N186"/>
      <c r="O186"/>
    </row>
    <row r="187" spans="9:15" x14ac:dyDescent="0.3">
      <c r="I187"/>
      <c r="J187"/>
      <c r="K187"/>
      <c r="N187"/>
      <c r="O187"/>
    </row>
    <row r="188" spans="9:15" x14ac:dyDescent="0.3">
      <c r="I188"/>
      <c r="J188"/>
      <c r="K188"/>
      <c r="N188"/>
      <c r="O188"/>
    </row>
    <row r="189" spans="9:15" x14ac:dyDescent="0.3">
      <c r="I189"/>
      <c r="J189"/>
      <c r="K189"/>
      <c r="N189"/>
      <c r="O189"/>
    </row>
    <row r="190" spans="9:15" x14ac:dyDescent="0.3">
      <c r="I190"/>
      <c r="J190"/>
      <c r="K190"/>
      <c r="N190"/>
      <c r="O190"/>
    </row>
    <row r="191" spans="9:15" x14ac:dyDescent="0.3">
      <c r="I191"/>
      <c r="J191"/>
      <c r="K191"/>
      <c r="N191"/>
      <c r="O191"/>
    </row>
    <row r="192" spans="9:15" x14ac:dyDescent="0.3">
      <c r="I192"/>
      <c r="J192"/>
      <c r="K192"/>
      <c r="N192"/>
      <c r="O192"/>
    </row>
    <row r="193" spans="9:15" x14ac:dyDescent="0.3">
      <c r="I193"/>
      <c r="J193"/>
      <c r="K193"/>
      <c r="N193"/>
      <c r="O193"/>
    </row>
    <row r="194" spans="9:15" x14ac:dyDescent="0.3">
      <c r="I194"/>
      <c r="J194"/>
      <c r="K194"/>
      <c r="N194"/>
      <c r="O194"/>
    </row>
    <row r="195" spans="9:15" x14ac:dyDescent="0.3">
      <c r="I195"/>
      <c r="J195"/>
      <c r="K195"/>
      <c r="N195"/>
      <c r="O195"/>
    </row>
    <row r="196" spans="9:15" x14ac:dyDescent="0.3">
      <c r="I196"/>
      <c r="J196"/>
      <c r="K196"/>
      <c r="N196"/>
      <c r="O196"/>
    </row>
    <row r="197" spans="9:15" x14ac:dyDescent="0.3">
      <c r="I197"/>
      <c r="J197"/>
      <c r="K197"/>
      <c r="N197"/>
      <c r="O197"/>
    </row>
    <row r="198" spans="9:15" x14ac:dyDescent="0.3">
      <c r="I198"/>
      <c r="J198"/>
      <c r="K198"/>
      <c r="N198"/>
      <c r="O198"/>
    </row>
    <row r="199" spans="9:15" x14ac:dyDescent="0.3">
      <c r="I199"/>
      <c r="J199"/>
      <c r="K199"/>
      <c r="N199"/>
      <c r="O199"/>
    </row>
    <row r="200" spans="9:15" x14ac:dyDescent="0.3">
      <c r="I200"/>
      <c r="J200"/>
      <c r="K200"/>
      <c r="N200"/>
      <c r="O200"/>
    </row>
    <row r="201" spans="9:15" x14ac:dyDescent="0.3">
      <c r="I201"/>
      <c r="J201"/>
      <c r="K201"/>
      <c r="N201"/>
      <c r="O201"/>
    </row>
    <row r="202" spans="9:15" x14ac:dyDescent="0.3">
      <c r="I202"/>
      <c r="J202"/>
      <c r="K202"/>
      <c r="N202"/>
      <c r="O202"/>
    </row>
    <row r="203" spans="9:15" x14ac:dyDescent="0.3">
      <c r="I203"/>
      <c r="J203"/>
      <c r="K203"/>
      <c r="N203"/>
      <c r="O203"/>
    </row>
    <row r="204" spans="9:15" x14ac:dyDescent="0.3">
      <c r="I204"/>
      <c r="J204"/>
      <c r="K204"/>
      <c r="N204"/>
      <c r="O204"/>
    </row>
    <row r="205" spans="9:15" x14ac:dyDescent="0.3">
      <c r="I205"/>
      <c r="J205"/>
      <c r="K205"/>
      <c r="N205"/>
      <c r="O205"/>
    </row>
    <row r="206" spans="9:15" x14ac:dyDescent="0.3">
      <c r="I206"/>
      <c r="J206"/>
      <c r="K206"/>
      <c r="N206"/>
      <c r="O206"/>
    </row>
    <row r="207" spans="9:15" x14ac:dyDescent="0.3">
      <c r="I207"/>
      <c r="J207"/>
      <c r="K207"/>
      <c r="N207"/>
      <c r="O207"/>
    </row>
    <row r="208" spans="9:15" x14ac:dyDescent="0.3">
      <c r="I208"/>
      <c r="J208"/>
      <c r="K208"/>
      <c r="N208"/>
      <c r="O208"/>
    </row>
    <row r="209" spans="9:15" x14ac:dyDescent="0.3">
      <c r="I209"/>
      <c r="J209"/>
      <c r="K209"/>
      <c r="N209"/>
      <c r="O209"/>
    </row>
    <row r="210" spans="9:15" x14ac:dyDescent="0.3">
      <c r="I210"/>
      <c r="J210"/>
      <c r="K210"/>
      <c r="N210"/>
      <c r="O210"/>
    </row>
    <row r="211" spans="9:15" x14ac:dyDescent="0.3">
      <c r="I211"/>
      <c r="J211"/>
      <c r="K211"/>
      <c r="N211"/>
      <c r="O211"/>
    </row>
    <row r="212" spans="9:15" x14ac:dyDescent="0.3">
      <c r="I212"/>
      <c r="J212"/>
      <c r="K212"/>
      <c r="N212"/>
      <c r="O212"/>
    </row>
    <row r="213" spans="9:15" x14ac:dyDescent="0.3">
      <c r="I213"/>
      <c r="J213"/>
      <c r="K213"/>
      <c r="N213"/>
      <c r="O213"/>
    </row>
    <row r="214" spans="9:15" x14ac:dyDescent="0.3">
      <c r="I214"/>
      <c r="J214"/>
      <c r="K214"/>
      <c r="N214"/>
      <c r="O214"/>
    </row>
    <row r="215" spans="9:15" x14ac:dyDescent="0.3">
      <c r="I215"/>
      <c r="J215"/>
      <c r="K215"/>
      <c r="N215"/>
      <c r="O215"/>
    </row>
    <row r="216" spans="9:15" x14ac:dyDescent="0.3">
      <c r="I216"/>
      <c r="J216"/>
      <c r="K216"/>
      <c r="N216"/>
      <c r="O216"/>
    </row>
    <row r="217" spans="9:15" x14ac:dyDescent="0.3">
      <c r="I217"/>
      <c r="J217"/>
      <c r="K217"/>
      <c r="N217"/>
      <c r="O217"/>
    </row>
    <row r="218" spans="9:15" x14ac:dyDescent="0.3">
      <c r="I218"/>
      <c r="J218"/>
      <c r="K218"/>
      <c r="N218"/>
      <c r="O218"/>
    </row>
    <row r="219" spans="9:15" x14ac:dyDescent="0.3">
      <c r="I219"/>
      <c r="J219"/>
      <c r="K219"/>
      <c r="N219"/>
      <c r="O219"/>
    </row>
    <row r="220" spans="9:15" x14ac:dyDescent="0.3">
      <c r="I220"/>
      <c r="J220"/>
      <c r="K220"/>
      <c r="N220"/>
      <c r="O220"/>
    </row>
    <row r="221" spans="9:15" x14ac:dyDescent="0.3">
      <c r="I221"/>
      <c r="J221"/>
      <c r="K221"/>
      <c r="N221"/>
      <c r="O221"/>
    </row>
    <row r="222" spans="9:15" x14ac:dyDescent="0.3">
      <c r="I222"/>
      <c r="J222"/>
      <c r="K222"/>
      <c r="N222"/>
      <c r="O222"/>
    </row>
    <row r="223" spans="9:15" x14ac:dyDescent="0.3">
      <c r="I223"/>
      <c r="J223"/>
      <c r="K223"/>
      <c r="N223"/>
      <c r="O223"/>
    </row>
    <row r="224" spans="9:15" x14ac:dyDescent="0.3">
      <c r="I224"/>
      <c r="J224"/>
      <c r="K224"/>
      <c r="N224"/>
      <c r="O224"/>
    </row>
    <row r="225" spans="9:15" x14ac:dyDescent="0.3">
      <c r="I225"/>
      <c r="J225"/>
      <c r="K225"/>
      <c r="N225"/>
      <c r="O225"/>
    </row>
    <row r="226" spans="9:15" x14ac:dyDescent="0.3">
      <c r="N226"/>
      <c r="O226"/>
    </row>
    <row r="227" spans="9:15" x14ac:dyDescent="0.3">
      <c r="N227"/>
      <c r="O227"/>
    </row>
    <row r="228" spans="9:15" x14ac:dyDescent="0.3">
      <c r="N228"/>
      <c r="O228"/>
    </row>
    <row r="229" spans="9:15" x14ac:dyDescent="0.3">
      <c r="N229"/>
      <c r="O229"/>
    </row>
    <row r="230" spans="9:15" x14ac:dyDescent="0.3">
      <c r="N230"/>
      <c r="O230"/>
    </row>
    <row r="231" spans="9:15" x14ac:dyDescent="0.3">
      <c r="N231"/>
      <c r="O231"/>
    </row>
    <row r="232" spans="9:15" x14ac:dyDescent="0.3">
      <c r="N232"/>
      <c r="O232"/>
    </row>
    <row r="233" spans="9:15" x14ac:dyDescent="0.3">
      <c r="N233"/>
      <c r="O233"/>
    </row>
    <row r="234" spans="9:15" x14ac:dyDescent="0.3">
      <c r="N234"/>
      <c r="O234"/>
    </row>
    <row r="235" spans="9:15" x14ac:dyDescent="0.3">
      <c r="N235"/>
      <c r="O235"/>
    </row>
    <row r="236" spans="9:15" x14ac:dyDescent="0.3">
      <c r="N236"/>
      <c r="O236"/>
    </row>
    <row r="237" spans="9:15" x14ac:dyDescent="0.3">
      <c r="N237"/>
      <c r="O237"/>
    </row>
    <row r="238" spans="9:15" x14ac:dyDescent="0.3">
      <c r="N238"/>
      <c r="O238"/>
    </row>
    <row r="239" spans="9:15" x14ac:dyDescent="0.3">
      <c r="N239"/>
      <c r="O239"/>
    </row>
    <row r="240" spans="9:15" x14ac:dyDescent="0.3">
      <c r="N240"/>
      <c r="O240"/>
    </row>
    <row r="241" spans="14:15" x14ac:dyDescent="0.3">
      <c r="N241"/>
      <c r="O241"/>
    </row>
    <row r="242" spans="14:15" x14ac:dyDescent="0.3">
      <c r="N242"/>
      <c r="O242"/>
    </row>
    <row r="243" spans="14:15" x14ac:dyDescent="0.3">
      <c r="N243"/>
      <c r="O243"/>
    </row>
    <row r="244" spans="14:15" x14ac:dyDescent="0.3">
      <c r="N244"/>
      <c r="O244"/>
    </row>
    <row r="245" spans="14:15" x14ac:dyDescent="0.3">
      <c r="N245"/>
      <c r="O245"/>
    </row>
    <row r="246" spans="14:15" x14ac:dyDescent="0.3">
      <c r="N246"/>
      <c r="O246"/>
    </row>
    <row r="247" spans="14:15" x14ac:dyDescent="0.3">
      <c r="N247"/>
      <c r="O247"/>
    </row>
    <row r="248" spans="14:15" x14ac:dyDescent="0.3">
      <c r="N248"/>
      <c r="O248"/>
    </row>
    <row r="249" spans="14:15" x14ac:dyDescent="0.3">
      <c r="N249"/>
      <c r="O249"/>
    </row>
    <row r="250" spans="14:15" x14ac:dyDescent="0.3">
      <c r="N250"/>
      <c r="O250"/>
    </row>
    <row r="251" spans="14:15" x14ac:dyDescent="0.3">
      <c r="N251"/>
      <c r="O251"/>
    </row>
    <row r="252" spans="14:15" x14ac:dyDescent="0.3">
      <c r="N252"/>
      <c r="O252"/>
    </row>
    <row r="253" spans="14:15" x14ac:dyDescent="0.3">
      <c r="N253"/>
      <c r="O253"/>
    </row>
    <row r="254" spans="14:15" x14ac:dyDescent="0.3">
      <c r="N254"/>
      <c r="O254"/>
    </row>
    <row r="255" spans="14:15" x14ac:dyDescent="0.3">
      <c r="N255"/>
      <c r="O255"/>
    </row>
    <row r="256" spans="14:15" x14ac:dyDescent="0.3">
      <c r="N256"/>
      <c r="O256"/>
    </row>
    <row r="257" spans="14:15" x14ac:dyDescent="0.3">
      <c r="N257"/>
      <c r="O257"/>
    </row>
    <row r="258" spans="14:15" x14ac:dyDescent="0.3">
      <c r="N258"/>
      <c r="O258"/>
    </row>
    <row r="259" spans="14:15" x14ac:dyDescent="0.3">
      <c r="N259"/>
      <c r="O259"/>
    </row>
    <row r="260" spans="14:15" x14ac:dyDescent="0.3">
      <c r="N260"/>
      <c r="O260"/>
    </row>
    <row r="261" spans="14:15" x14ac:dyDescent="0.3">
      <c r="N261"/>
      <c r="O261"/>
    </row>
    <row r="262" spans="14:15" x14ac:dyDescent="0.3">
      <c r="N262"/>
      <c r="O262"/>
    </row>
    <row r="263" spans="14:15" x14ac:dyDescent="0.3">
      <c r="N263"/>
      <c r="O263"/>
    </row>
    <row r="264" spans="14:15" x14ac:dyDescent="0.3">
      <c r="N264"/>
      <c r="O264"/>
    </row>
    <row r="265" spans="14:15" x14ac:dyDescent="0.3">
      <c r="N265"/>
      <c r="O265"/>
    </row>
    <row r="266" spans="14:15" x14ac:dyDescent="0.3">
      <c r="N266"/>
      <c r="O266"/>
    </row>
    <row r="267" spans="14:15" x14ac:dyDescent="0.3">
      <c r="N267"/>
      <c r="O267"/>
    </row>
    <row r="268" spans="14:15" x14ac:dyDescent="0.3">
      <c r="N268"/>
      <c r="O268"/>
    </row>
    <row r="269" spans="14:15" x14ac:dyDescent="0.3">
      <c r="N269"/>
      <c r="O269"/>
    </row>
    <row r="270" spans="14:15" x14ac:dyDescent="0.3">
      <c r="N270"/>
      <c r="O270"/>
    </row>
    <row r="271" spans="14:15" x14ac:dyDescent="0.3">
      <c r="N271"/>
      <c r="O271"/>
    </row>
    <row r="272" spans="14:15" x14ac:dyDescent="0.3">
      <c r="N272"/>
      <c r="O272"/>
    </row>
    <row r="273" spans="14:15" x14ac:dyDescent="0.3">
      <c r="N273"/>
      <c r="O273"/>
    </row>
    <row r="274" spans="14:15" x14ac:dyDescent="0.3">
      <c r="N274"/>
      <c r="O274"/>
    </row>
    <row r="275" spans="14:15" x14ac:dyDescent="0.3">
      <c r="N275"/>
      <c r="O275"/>
    </row>
    <row r="276" spans="14:15" x14ac:dyDescent="0.3">
      <c r="N276"/>
      <c r="O276"/>
    </row>
    <row r="277" spans="14:15" x14ac:dyDescent="0.3">
      <c r="N277"/>
      <c r="O277"/>
    </row>
    <row r="278" spans="14:15" x14ac:dyDescent="0.3">
      <c r="N278"/>
      <c r="O278"/>
    </row>
    <row r="279" spans="14:15" x14ac:dyDescent="0.3">
      <c r="N279"/>
      <c r="O279"/>
    </row>
    <row r="280" spans="14:15" x14ac:dyDescent="0.3">
      <c r="N280"/>
      <c r="O280"/>
    </row>
    <row r="281" spans="14:15" x14ac:dyDescent="0.3">
      <c r="N281"/>
      <c r="O281"/>
    </row>
    <row r="282" spans="14:15" x14ac:dyDescent="0.3">
      <c r="N282"/>
      <c r="O282"/>
    </row>
    <row r="283" spans="14:15" x14ac:dyDescent="0.3">
      <c r="N283"/>
      <c r="O283"/>
    </row>
    <row r="284" spans="14:15" x14ac:dyDescent="0.3">
      <c r="N284"/>
      <c r="O284"/>
    </row>
    <row r="285" spans="14:15" x14ac:dyDescent="0.3">
      <c r="N285"/>
      <c r="O285"/>
    </row>
    <row r="286" spans="14:15" x14ac:dyDescent="0.3">
      <c r="N286"/>
      <c r="O286"/>
    </row>
    <row r="287" spans="14:15" x14ac:dyDescent="0.3">
      <c r="N287"/>
      <c r="O287"/>
    </row>
    <row r="288" spans="14:15" x14ac:dyDescent="0.3">
      <c r="N288"/>
      <c r="O288"/>
    </row>
    <row r="289" spans="14:15" x14ac:dyDescent="0.3">
      <c r="N289"/>
      <c r="O289"/>
    </row>
    <row r="290" spans="14:15" x14ac:dyDescent="0.3">
      <c r="N290"/>
      <c r="O290"/>
    </row>
    <row r="291" spans="14:15" x14ac:dyDescent="0.3">
      <c r="N291"/>
      <c r="O291"/>
    </row>
    <row r="292" spans="14:15" x14ac:dyDescent="0.3">
      <c r="N292"/>
      <c r="O292"/>
    </row>
    <row r="293" spans="14:15" x14ac:dyDescent="0.3">
      <c r="N293"/>
      <c r="O293"/>
    </row>
    <row r="294" spans="14:15" x14ac:dyDescent="0.3">
      <c r="N294"/>
      <c r="O294"/>
    </row>
    <row r="295" spans="14:15" x14ac:dyDescent="0.3">
      <c r="N295"/>
      <c r="O295"/>
    </row>
    <row r="296" spans="14:15" x14ac:dyDescent="0.3">
      <c r="N296"/>
      <c r="O296"/>
    </row>
    <row r="297" spans="14:15" x14ac:dyDescent="0.3">
      <c r="N297"/>
      <c r="O297"/>
    </row>
    <row r="298" spans="14:15" x14ac:dyDescent="0.3">
      <c r="N298"/>
      <c r="O298"/>
    </row>
    <row r="299" spans="14:15" x14ac:dyDescent="0.3">
      <c r="N299"/>
      <c r="O299"/>
    </row>
    <row r="300" spans="14:15" x14ac:dyDescent="0.3">
      <c r="N300"/>
      <c r="O300"/>
    </row>
    <row r="301" spans="14:15" x14ac:dyDescent="0.3">
      <c r="N301"/>
      <c r="O301"/>
    </row>
    <row r="302" spans="14:15" x14ac:dyDescent="0.3">
      <c r="N302"/>
      <c r="O302"/>
    </row>
    <row r="303" spans="14:15" x14ac:dyDescent="0.3">
      <c r="N303"/>
      <c r="O303"/>
    </row>
    <row r="304" spans="14:15" x14ac:dyDescent="0.3">
      <c r="N304"/>
      <c r="O304"/>
    </row>
    <row r="305" spans="14:15" x14ac:dyDescent="0.3">
      <c r="N305"/>
      <c r="O305"/>
    </row>
    <row r="306" spans="14:15" x14ac:dyDescent="0.3">
      <c r="N306"/>
      <c r="O306"/>
    </row>
    <row r="307" spans="14:15" x14ac:dyDescent="0.3">
      <c r="N307"/>
      <c r="O307"/>
    </row>
    <row r="308" spans="14:15" x14ac:dyDescent="0.3">
      <c r="N308"/>
      <c r="O308"/>
    </row>
    <row r="309" spans="14:15" x14ac:dyDescent="0.3">
      <c r="N309"/>
      <c r="O309"/>
    </row>
    <row r="310" spans="14:15" x14ac:dyDescent="0.3">
      <c r="N310"/>
      <c r="O310"/>
    </row>
    <row r="311" spans="14:15" x14ac:dyDescent="0.3">
      <c r="N311"/>
      <c r="O311"/>
    </row>
    <row r="312" spans="14:15" x14ac:dyDescent="0.3">
      <c r="N312"/>
      <c r="O312"/>
    </row>
    <row r="313" spans="14:15" x14ac:dyDescent="0.3">
      <c r="N313"/>
      <c r="O313"/>
    </row>
    <row r="314" spans="14:15" x14ac:dyDescent="0.3">
      <c r="N314"/>
      <c r="O314"/>
    </row>
    <row r="315" spans="14:15" x14ac:dyDescent="0.3">
      <c r="N315"/>
      <c r="O315"/>
    </row>
    <row r="316" spans="14:15" x14ac:dyDescent="0.3">
      <c r="N316"/>
      <c r="O316"/>
    </row>
    <row r="317" spans="14:15" x14ac:dyDescent="0.3">
      <c r="N317"/>
      <c r="O317"/>
    </row>
    <row r="318" spans="14:15" x14ac:dyDescent="0.3">
      <c r="N318"/>
      <c r="O318"/>
    </row>
    <row r="319" spans="14:15" x14ac:dyDescent="0.3">
      <c r="N319"/>
      <c r="O319"/>
    </row>
    <row r="320" spans="14:15" x14ac:dyDescent="0.3">
      <c r="N320"/>
      <c r="O320"/>
    </row>
    <row r="321" spans="14:15" x14ac:dyDescent="0.3">
      <c r="N321"/>
      <c r="O321"/>
    </row>
    <row r="322" spans="14:15" x14ac:dyDescent="0.3">
      <c r="N322"/>
      <c r="O322"/>
    </row>
    <row r="323" spans="14:15" x14ac:dyDescent="0.3">
      <c r="N323"/>
      <c r="O323"/>
    </row>
    <row r="324" spans="14:15" x14ac:dyDescent="0.3">
      <c r="N324"/>
      <c r="O324"/>
    </row>
    <row r="325" spans="14:15" x14ac:dyDescent="0.3">
      <c r="N325"/>
      <c r="O325"/>
    </row>
    <row r="326" spans="14:15" x14ac:dyDescent="0.3">
      <c r="N326"/>
      <c r="O326"/>
    </row>
    <row r="327" spans="14:15" x14ac:dyDescent="0.3">
      <c r="N327"/>
      <c r="O327"/>
    </row>
    <row r="328" spans="14:15" x14ac:dyDescent="0.3">
      <c r="N328"/>
      <c r="O328"/>
    </row>
    <row r="329" spans="14:15" x14ac:dyDescent="0.3">
      <c r="N329"/>
      <c r="O329"/>
    </row>
    <row r="330" spans="14:15" x14ac:dyDescent="0.3">
      <c r="N330"/>
      <c r="O330"/>
    </row>
    <row r="331" spans="14:15" x14ac:dyDescent="0.3">
      <c r="N331"/>
      <c r="O331"/>
    </row>
    <row r="332" spans="14:15" x14ac:dyDescent="0.3">
      <c r="N332"/>
      <c r="O332"/>
    </row>
  </sheetData>
  <phoneticPr fontId="6" type="noConversion"/>
  <conditionalFormatting sqref="A1:A108">
    <cfRule type="duplicateValues" dxfId="2" priority="22"/>
  </conditionalFormatting>
  <conditionalFormatting sqref="B113:B117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{F32D287D-A823-4ED4-AD77-07DD778DBDC8}</x14:id>
        </ext>
      </extLst>
    </cfRule>
  </conditionalFormatting>
  <conditionalFormatting sqref="B114:B1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{8C125E54-04A6-44A5-B905-C9DB23970C43}</x14:id>
        </ext>
      </extLst>
    </cfRule>
  </conditionalFormatting>
  <conditionalFormatting sqref="B138:B139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B141:B142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B144:B145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B147:B148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E130:E133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{67CB5C86-0985-4B70-AA6C-4400A93E04A9}</x14:id>
        </ext>
      </extLst>
    </cfRule>
  </conditionalFormatting>
  <conditionalFormatting sqref="F142">
    <cfRule type="iconSet" priority="3">
      <iconSet>
        <cfvo type="percent" val="0"/>
        <cfvo type="percent" val="33"/>
        <cfvo type="percent" val="67"/>
      </iconSet>
    </cfRule>
  </conditionalFormatting>
  <conditionalFormatting sqref="F142:F145">
    <cfRule type="iconSet" priority="1">
      <iconSet iconSet="3TrafficLights2">
        <cfvo type="percent" val="0"/>
        <cfvo type="percent" val="33"/>
        <cfvo type="percent" val="67"/>
      </iconSet>
    </cfRule>
  </conditionalFormatting>
  <conditionalFormatting sqref="I113 A123 A109:A112 A159:A1048576">
    <cfRule type="duplicateValues" dxfId="1" priority="27"/>
  </conditionalFormatting>
  <pageMargins left="0.7" right="0.7" top="0.75" bottom="0.75" header="0.3" footer="0.3"/>
  <ignoredErrors>
    <ignoredError sqref="D3" numberStoredAsText="1"/>
  </ignoredErrors>
  <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2D287D-A823-4ED4-AD77-07DD778DBD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B113:B117</xm:sqref>
        </x14:conditionalFormatting>
        <x14:conditionalFormatting xmlns:xm="http://schemas.microsoft.com/office/excel/2006/main">
          <x14:cfRule type="dataBar" id="{8C125E54-04A6-44A5-B905-C9DB23970C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B114:B117</xm:sqref>
        </x14:conditionalFormatting>
        <x14:conditionalFormatting xmlns:xm="http://schemas.microsoft.com/office/excel/2006/main">
          <x14:cfRule type="dataBar" id="{67CB5C86-0985-4B70-AA6C-4400A93E04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E130:E133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BC9B-68C2-4B3F-A66E-6E2707B6FE91}">
  <dimension ref="A1:J108"/>
  <sheetViews>
    <sheetView topLeftCell="A93" workbookViewId="0">
      <selection sqref="A1:J108"/>
    </sheetView>
  </sheetViews>
  <sheetFormatPr defaultRowHeight="14.4" x14ac:dyDescent="0.3"/>
  <sheetData>
    <row r="1" spans="1:10" x14ac:dyDescent="0.3">
      <c r="A1" s="2" t="s">
        <v>142</v>
      </c>
      <c r="B1" s="3" t="s">
        <v>139</v>
      </c>
      <c r="C1" s="2" t="s">
        <v>0</v>
      </c>
      <c r="D1" s="3" t="s">
        <v>140</v>
      </c>
      <c r="E1" s="3" t="s">
        <v>143</v>
      </c>
      <c r="F1" s="2" t="s">
        <v>1</v>
      </c>
      <c r="G1" s="2" t="s">
        <v>2</v>
      </c>
      <c r="H1" s="2" t="s">
        <v>3</v>
      </c>
      <c r="I1" t="s">
        <v>144</v>
      </c>
      <c r="J1" s="1" t="s">
        <v>145</v>
      </c>
    </row>
    <row r="2" spans="1:10" x14ac:dyDescent="0.3">
      <c r="A2" s="2" t="s">
        <v>79</v>
      </c>
      <c r="B2" s="3">
        <v>78</v>
      </c>
      <c r="C2" s="2" t="s">
        <v>36</v>
      </c>
      <c r="D2" s="3" t="s">
        <v>46</v>
      </c>
      <c r="E2" s="3">
        <v>75</v>
      </c>
      <c r="F2" s="2" t="s">
        <v>12</v>
      </c>
      <c r="G2" s="2" t="s">
        <v>26</v>
      </c>
      <c r="H2" s="2" t="s">
        <v>14</v>
      </c>
      <c r="I2" s="2">
        <f t="shared" ref="I2:I65" si="0">D2*0.3048</f>
        <v>1.7983200000000001</v>
      </c>
      <c r="J2" s="1">
        <f>ROUND(E2/(I2^2), 1)</f>
        <v>23.2</v>
      </c>
    </row>
    <row r="3" spans="1:10" x14ac:dyDescent="0.3">
      <c r="A3" s="2" t="s">
        <v>141</v>
      </c>
      <c r="B3" s="3">
        <v>57</v>
      </c>
      <c r="C3" s="2" t="s">
        <v>5</v>
      </c>
      <c r="D3" s="3" t="s">
        <v>11</v>
      </c>
      <c r="E3" s="3">
        <v>78</v>
      </c>
      <c r="F3" s="2" t="s">
        <v>7</v>
      </c>
      <c r="G3" s="2" t="s">
        <v>13</v>
      </c>
      <c r="H3" s="2" t="s">
        <v>20</v>
      </c>
      <c r="I3" s="2">
        <f t="shared" si="0"/>
        <v>1.8288000000000002</v>
      </c>
      <c r="J3" s="1">
        <f t="shared" ref="J3:J66" si="1">ROUND(E3/(I3^2), 1)</f>
        <v>23.3</v>
      </c>
    </row>
    <row r="4" spans="1:10" x14ac:dyDescent="0.3">
      <c r="A4" s="2" t="s">
        <v>80</v>
      </c>
      <c r="B4" s="3">
        <v>69</v>
      </c>
      <c r="C4" s="2" t="s">
        <v>5</v>
      </c>
      <c r="D4" s="3" t="s">
        <v>49</v>
      </c>
      <c r="E4" s="3">
        <v>80</v>
      </c>
      <c r="F4" s="2" t="s">
        <v>12</v>
      </c>
      <c r="G4" s="2" t="s">
        <v>26</v>
      </c>
      <c r="H4" s="2" t="s">
        <v>14</v>
      </c>
      <c r="I4" s="2">
        <f t="shared" si="0"/>
        <v>1.6764000000000001</v>
      </c>
      <c r="J4" s="1">
        <f t="shared" si="1"/>
        <v>28.5</v>
      </c>
    </row>
    <row r="5" spans="1:10" x14ac:dyDescent="0.3">
      <c r="A5" s="2" t="s">
        <v>82</v>
      </c>
      <c r="B5" s="3">
        <v>46</v>
      </c>
      <c r="C5" s="2" t="s">
        <v>36</v>
      </c>
      <c r="D5" s="3" t="s">
        <v>11</v>
      </c>
      <c r="E5" s="3">
        <v>80</v>
      </c>
      <c r="F5" s="2" t="s">
        <v>12</v>
      </c>
      <c r="G5" s="2" t="s">
        <v>26</v>
      </c>
      <c r="H5" s="2" t="s">
        <v>20</v>
      </c>
      <c r="I5" s="2">
        <f t="shared" si="0"/>
        <v>1.8288000000000002</v>
      </c>
      <c r="J5" s="1">
        <f t="shared" si="1"/>
        <v>23.9</v>
      </c>
    </row>
    <row r="6" spans="1:10" x14ac:dyDescent="0.3">
      <c r="A6" s="2" t="s">
        <v>109</v>
      </c>
      <c r="B6" s="3">
        <v>21</v>
      </c>
      <c r="C6" s="2" t="s">
        <v>36</v>
      </c>
      <c r="D6" s="3" t="s">
        <v>29</v>
      </c>
      <c r="E6" s="3">
        <v>70</v>
      </c>
      <c r="F6" s="2" t="s">
        <v>12</v>
      </c>
      <c r="G6" s="2" t="s">
        <v>26</v>
      </c>
      <c r="H6" s="2" t="s">
        <v>20</v>
      </c>
      <c r="I6" s="2">
        <f t="shared" si="0"/>
        <v>1.70688</v>
      </c>
      <c r="J6" s="1">
        <f t="shared" si="1"/>
        <v>24</v>
      </c>
    </row>
    <row r="7" spans="1:10" x14ac:dyDescent="0.3">
      <c r="A7" s="2" t="s">
        <v>122</v>
      </c>
      <c r="B7" s="3">
        <v>20</v>
      </c>
      <c r="C7" s="2" t="s">
        <v>5</v>
      </c>
      <c r="D7" s="3">
        <v>5.2</v>
      </c>
      <c r="E7" s="3">
        <v>67</v>
      </c>
      <c r="F7" s="2" t="s">
        <v>12</v>
      </c>
      <c r="G7" s="2" t="s">
        <v>26</v>
      </c>
      <c r="H7" s="2" t="s">
        <v>9</v>
      </c>
      <c r="I7" s="2">
        <f t="shared" si="0"/>
        <v>1.5849600000000001</v>
      </c>
      <c r="J7" s="1">
        <f t="shared" si="1"/>
        <v>26.7</v>
      </c>
    </row>
    <row r="8" spans="1:10" x14ac:dyDescent="0.3">
      <c r="A8" s="2" t="s">
        <v>97</v>
      </c>
      <c r="B8" s="3">
        <v>18</v>
      </c>
      <c r="C8" s="2" t="s">
        <v>5</v>
      </c>
      <c r="D8" s="3">
        <v>6</v>
      </c>
      <c r="E8" s="3">
        <v>37</v>
      </c>
      <c r="F8" s="2" t="s">
        <v>12</v>
      </c>
      <c r="G8" s="2" t="s">
        <v>26</v>
      </c>
      <c r="H8" s="2" t="s">
        <v>9</v>
      </c>
      <c r="I8" s="2">
        <f t="shared" si="0"/>
        <v>1.8288000000000002</v>
      </c>
      <c r="J8" s="1">
        <f t="shared" si="1"/>
        <v>11.1</v>
      </c>
    </row>
    <row r="9" spans="1:10" x14ac:dyDescent="0.3">
      <c r="A9" s="2" t="s">
        <v>64</v>
      </c>
      <c r="B9" s="3">
        <v>19</v>
      </c>
      <c r="C9" s="2" t="s">
        <v>5</v>
      </c>
      <c r="D9" s="3">
        <v>5.4</v>
      </c>
      <c r="E9" s="3">
        <v>50</v>
      </c>
      <c r="F9" s="2" t="s">
        <v>12</v>
      </c>
      <c r="G9" s="2" t="s">
        <v>26</v>
      </c>
      <c r="H9" s="2" t="s">
        <v>9</v>
      </c>
      <c r="I9" s="2">
        <f t="shared" si="0"/>
        <v>1.6459200000000003</v>
      </c>
      <c r="J9" s="1">
        <f t="shared" si="1"/>
        <v>18.5</v>
      </c>
    </row>
    <row r="10" spans="1:10" x14ac:dyDescent="0.3">
      <c r="A10" s="2" t="s">
        <v>101</v>
      </c>
      <c r="B10" s="3">
        <v>18</v>
      </c>
      <c r="C10" s="2" t="s">
        <v>5</v>
      </c>
      <c r="D10" s="3" t="s">
        <v>18</v>
      </c>
      <c r="E10" s="4">
        <v>50</v>
      </c>
      <c r="F10" s="2" t="s">
        <v>25</v>
      </c>
      <c r="G10" s="2" t="s">
        <v>26</v>
      </c>
      <c r="H10" s="2" t="s">
        <v>14</v>
      </c>
      <c r="I10" s="2">
        <f t="shared" si="0"/>
        <v>1.5849600000000001</v>
      </c>
      <c r="J10" s="1">
        <f t="shared" si="1"/>
        <v>19.899999999999999</v>
      </c>
    </row>
    <row r="11" spans="1:10" x14ac:dyDescent="0.3">
      <c r="A11" s="2" t="s">
        <v>114</v>
      </c>
      <c r="B11" s="3">
        <v>19</v>
      </c>
      <c r="C11" s="2" t="s">
        <v>5</v>
      </c>
      <c r="D11" s="3">
        <v>5.2</v>
      </c>
      <c r="E11" s="3">
        <v>60</v>
      </c>
      <c r="F11" s="2" t="s">
        <v>12</v>
      </c>
      <c r="G11" s="2" t="s">
        <v>8</v>
      </c>
      <c r="H11" s="2" t="s">
        <v>9</v>
      </c>
      <c r="I11" s="2">
        <f t="shared" si="0"/>
        <v>1.5849600000000001</v>
      </c>
      <c r="J11" s="1">
        <f t="shared" si="1"/>
        <v>23.9</v>
      </c>
    </row>
    <row r="12" spans="1:10" x14ac:dyDescent="0.3">
      <c r="A12" s="2" t="s">
        <v>48</v>
      </c>
      <c r="B12" s="3">
        <v>23</v>
      </c>
      <c r="C12" s="2" t="s">
        <v>36</v>
      </c>
      <c r="D12" s="3" t="s">
        <v>49</v>
      </c>
      <c r="E12" s="3">
        <v>60</v>
      </c>
      <c r="F12" s="2" t="s">
        <v>12</v>
      </c>
      <c r="G12" s="2" t="s">
        <v>13</v>
      </c>
      <c r="H12" s="2" t="s">
        <v>9</v>
      </c>
      <c r="I12" s="2">
        <f t="shared" si="0"/>
        <v>1.6764000000000001</v>
      </c>
      <c r="J12" s="1">
        <f t="shared" si="1"/>
        <v>21.3</v>
      </c>
    </row>
    <row r="13" spans="1:10" x14ac:dyDescent="0.3">
      <c r="A13" s="2" t="s">
        <v>78</v>
      </c>
      <c r="B13" s="3">
        <v>60</v>
      </c>
      <c r="C13" s="2" t="s">
        <v>5</v>
      </c>
      <c r="D13" s="3" t="s">
        <v>6</v>
      </c>
      <c r="E13" s="3">
        <v>65</v>
      </c>
      <c r="F13" s="2" t="s">
        <v>12</v>
      </c>
      <c r="G13" s="2" t="s">
        <v>26</v>
      </c>
      <c r="H13" s="2" t="s">
        <v>14</v>
      </c>
      <c r="I13" s="2">
        <f t="shared" si="0"/>
        <v>1.524</v>
      </c>
      <c r="J13" s="1">
        <f t="shared" si="1"/>
        <v>28</v>
      </c>
    </row>
    <row r="14" spans="1:10" x14ac:dyDescent="0.3">
      <c r="A14" s="2" t="s">
        <v>131</v>
      </c>
      <c r="B14" s="3">
        <v>24</v>
      </c>
      <c r="C14" s="2" t="s">
        <v>36</v>
      </c>
      <c r="D14" s="3" t="s">
        <v>11</v>
      </c>
      <c r="E14" s="3">
        <v>74</v>
      </c>
      <c r="F14" s="2" t="s">
        <v>7</v>
      </c>
      <c r="G14" s="2" t="s">
        <v>26</v>
      </c>
      <c r="H14" s="2" t="s">
        <v>14</v>
      </c>
      <c r="I14" s="2">
        <f t="shared" si="0"/>
        <v>1.8288000000000002</v>
      </c>
      <c r="J14" s="1">
        <f t="shared" si="1"/>
        <v>22.1</v>
      </c>
    </row>
    <row r="15" spans="1:10" x14ac:dyDescent="0.3">
      <c r="A15" s="2" t="s">
        <v>98</v>
      </c>
      <c r="B15" s="3">
        <v>18</v>
      </c>
      <c r="C15" s="2" t="s">
        <v>5</v>
      </c>
      <c r="D15" s="3">
        <v>5</v>
      </c>
      <c r="E15" s="3">
        <v>56</v>
      </c>
      <c r="F15" s="2" t="s">
        <v>12</v>
      </c>
      <c r="G15" s="2" t="s">
        <v>8</v>
      </c>
      <c r="H15" s="2" t="s">
        <v>9</v>
      </c>
      <c r="I15" s="2">
        <f t="shared" si="0"/>
        <v>1.524</v>
      </c>
      <c r="J15" s="1">
        <f t="shared" si="1"/>
        <v>24.1</v>
      </c>
    </row>
    <row r="16" spans="1:10" x14ac:dyDescent="0.3">
      <c r="A16" s="2" t="s">
        <v>81</v>
      </c>
      <c r="B16" s="3">
        <v>19</v>
      </c>
      <c r="C16" s="2" t="s">
        <v>5</v>
      </c>
      <c r="D16" s="3" t="s">
        <v>49</v>
      </c>
      <c r="E16" s="3">
        <v>55</v>
      </c>
      <c r="F16" s="2" t="s">
        <v>12</v>
      </c>
      <c r="G16" s="2" t="s">
        <v>8</v>
      </c>
      <c r="H16" s="2" t="s">
        <v>9</v>
      </c>
      <c r="I16" s="2">
        <f t="shared" si="0"/>
        <v>1.6764000000000001</v>
      </c>
      <c r="J16" s="1">
        <f t="shared" si="1"/>
        <v>19.600000000000001</v>
      </c>
    </row>
    <row r="17" spans="1:10" x14ac:dyDescent="0.3">
      <c r="A17" s="2" t="s">
        <v>19</v>
      </c>
      <c r="B17" s="3">
        <v>19</v>
      </c>
      <c r="C17" s="2" t="s">
        <v>5</v>
      </c>
      <c r="D17" s="3">
        <v>5</v>
      </c>
      <c r="E17" s="3">
        <v>53</v>
      </c>
      <c r="F17" s="2" t="s">
        <v>12</v>
      </c>
      <c r="G17" s="2" t="s">
        <v>8</v>
      </c>
      <c r="H17" s="2" t="s">
        <v>20</v>
      </c>
      <c r="I17" s="2">
        <f t="shared" si="0"/>
        <v>1.524</v>
      </c>
      <c r="J17" s="1">
        <f t="shared" si="1"/>
        <v>22.8</v>
      </c>
    </row>
    <row r="18" spans="1:10" x14ac:dyDescent="0.3">
      <c r="A18" s="2" t="s">
        <v>23</v>
      </c>
      <c r="B18" s="3">
        <v>21</v>
      </c>
      <c r="C18" s="2" t="s">
        <v>5</v>
      </c>
      <c r="D18" s="3" t="s">
        <v>24</v>
      </c>
      <c r="E18" s="3">
        <v>53</v>
      </c>
      <c r="F18" s="2" t="s">
        <v>25</v>
      </c>
      <c r="G18" s="2" t="s">
        <v>26</v>
      </c>
      <c r="H18" s="2" t="s">
        <v>9</v>
      </c>
      <c r="I18" s="2">
        <f t="shared" si="0"/>
        <v>1.61544</v>
      </c>
      <c r="J18" s="1">
        <f t="shared" si="1"/>
        <v>20.3</v>
      </c>
    </row>
    <row r="19" spans="1:10" x14ac:dyDescent="0.3">
      <c r="A19" s="2" t="s">
        <v>63</v>
      </c>
      <c r="B19" s="3">
        <v>40</v>
      </c>
      <c r="C19" s="2" t="s">
        <v>36</v>
      </c>
      <c r="D19" s="3">
        <v>6</v>
      </c>
      <c r="E19" s="3">
        <v>60</v>
      </c>
      <c r="F19" s="2" t="s">
        <v>12</v>
      </c>
      <c r="G19" s="2" t="s">
        <v>8</v>
      </c>
      <c r="H19" s="2" t="s">
        <v>9</v>
      </c>
      <c r="I19" s="2">
        <f t="shared" si="0"/>
        <v>1.8288000000000002</v>
      </c>
      <c r="J19" s="1">
        <f t="shared" si="1"/>
        <v>17.899999999999999</v>
      </c>
    </row>
    <row r="20" spans="1:10" x14ac:dyDescent="0.3">
      <c r="A20" s="2" t="s">
        <v>95</v>
      </c>
      <c r="B20" s="3">
        <v>20</v>
      </c>
      <c r="C20" s="2" t="s">
        <v>5</v>
      </c>
      <c r="D20" s="3" t="s">
        <v>32</v>
      </c>
      <c r="E20" s="3">
        <v>44</v>
      </c>
      <c r="F20" s="2" t="s">
        <v>12</v>
      </c>
      <c r="G20" s="2" t="s">
        <v>22</v>
      </c>
      <c r="H20" s="2" t="s">
        <v>9</v>
      </c>
      <c r="I20" s="2">
        <f t="shared" si="0"/>
        <v>1.6459200000000003</v>
      </c>
      <c r="J20" s="1">
        <f t="shared" si="1"/>
        <v>16.2</v>
      </c>
    </row>
    <row r="21" spans="1:10" x14ac:dyDescent="0.3">
      <c r="A21" s="2" t="s">
        <v>102</v>
      </c>
      <c r="B21" s="3">
        <v>21</v>
      </c>
      <c r="C21" s="2" t="s">
        <v>5</v>
      </c>
      <c r="D21" s="3" t="s">
        <v>6</v>
      </c>
      <c r="E21" s="3">
        <v>52</v>
      </c>
      <c r="F21" s="2" t="s">
        <v>12</v>
      </c>
      <c r="G21" s="2" t="s">
        <v>8</v>
      </c>
      <c r="H21" s="2" t="s">
        <v>9</v>
      </c>
      <c r="I21" s="2">
        <f t="shared" si="0"/>
        <v>1.524</v>
      </c>
      <c r="J21" s="1">
        <f t="shared" si="1"/>
        <v>22.4</v>
      </c>
    </row>
    <row r="22" spans="1:10" x14ac:dyDescent="0.3">
      <c r="A22" s="2" t="s">
        <v>119</v>
      </c>
      <c r="B22" s="3">
        <v>25</v>
      </c>
      <c r="C22" s="2" t="s">
        <v>36</v>
      </c>
      <c r="D22" s="3" t="s">
        <v>120</v>
      </c>
      <c r="E22" s="3">
        <v>73</v>
      </c>
      <c r="F22" s="2" t="s">
        <v>12</v>
      </c>
      <c r="G22" s="2" t="s">
        <v>8</v>
      </c>
      <c r="H22" s="2" t="s">
        <v>9</v>
      </c>
      <c r="I22" s="2">
        <f t="shared" si="0"/>
        <v>1.7291304000000001</v>
      </c>
      <c r="J22" s="1">
        <f t="shared" si="1"/>
        <v>24.4</v>
      </c>
    </row>
    <row r="23" spans="1:10" x14ac:dyDescent="0.3">
      <c r="A23" s="2" t="s">
        <v>41</v>
      </c>
      <c r="B23" s="3">
        <v>26</v>
      </c>
      <c r="C23" s="2" t="s">
        <v>36</v>
      </c>
      <c r="D23" s="3" t="s">
        <v>29</v>
      </c>
      <c r="E23" s="3">
        <v>73</v>
      </c>
      <c r="F23" s="2" t="s">
        <v>12</v>
      </c>
      <c r="G23" s="2" t="s">
        <v>26</v>
      </c>
      <c r="H23" s="2" t="s">
        <v>9</v>
      </c>
      <c r="I23" s="2">
        <f t="shared" si="0"/>
        <v>1.70688</v>
      </c>
      <c r="J23" s="1">
        <f t="shared" si="1"/>
        <v>25.1</v>
      </c>
    </row>
    <row r="24" spans="1:10" x14ac:dyDescent="0.3">
      <c r="A24" s="2" t="s">
        <v>61</v>
      </c>
      <c r="B24" s="3">
        <v>15</v>
      </c>
      <c r="C24" s="2" t="s">
        <v>5</v>
      </c>
      <c r="D24" s="3" t="s">
        <v>62</v>
      </c>
      <c r="E24" s="3">
        <v>42</v>
      </c>
      <c r="F24" s="2" t="s">
        <v>25</v>
      </c>
      <c r="G24" s="2" t="s">
        <v>26</v>
      </c>
      <c r="H24" s="2" t="s">
        <v>9</v>
      </c>
      <c r="I24" s="2">
        <f t="shared" si="0"/>
        <v>1.2192000000000001</v>
      </c>
      <c r="J24" s="1">
        <f t="shared" si="1"/>
        <v>28.3</v>
      </c>
    </row>
    <row r="25" spans="1:10" x14ac:dyDescent="0.3">
      <c r="A25" s="2" t="s">
        <v>27</v>
      </c>
      <c r="B25" s="3">
        <v>20</v>
      </c>
      <c r="C25" s="2" t="s">
        <v>5</v>
      </c>
      <c r="D25" s="3" t="s">
        <v>6</v>
      </c>
      <c r="E25" s="3">
        <v>42</v>
      </c>
      <c r="F25" s="2" t="s">
        <v>12</v>
      </c>
      <c r="G25" s="2" t="s">
        <v>8</v>
      </c>
      <c r="H25" s="2" t="s">
        <v>9</v>
      </c>
      <c r="I25" s="2">
        <f t="shared" si="0"/>
        <v>1.524</v>
      </c>
      <c r="J25" s="1">
        <f t="shared" si="1"/>
        <v>18.100000000000001</v>
      </c>
    </row>
    <row r="26" spans="1:10" x14ac:dyDescent="0.3">
      <c r="A26" s="2" t="s">
        <v>55</v>
      </c>
      <c r="B26" s="3">
        <v>19</v>
      </c>
      <c r="C26" s="2" t="s">
        <v>5</v>
      </c>
      <c r="D26" s="3" t="s">
        <v>56</v>
      </c>
      <c r="E26" s="3">
        <v>45</v>
      </c>
      <c r="F26" s="2" t="s">
        <v>12</v>
      </c>
      <c r="G26" s="2" t="s">
        <v>26</v>
      </c>
      <c r="H26" s="2" t="s">
        <v>9</v>
      </c>
      <c r="I26" s="2">
        <f t="shared" si="0"/>
        <v>1.4325600000000001</v>
      </c>
      <c r="J26" s="1">
        <f t="shared" si="1"/>
        <v>21.9</v>
      </c>
    </row>
    <row r="27" spans="1:10" x14ac:dyDescent="0.3">
      <c r="A27" s="2" t="s">
        <v>21</v>
      </c>
      <c r="B27" s="3">
        <v>20</v>
      </c>
      <c r="C27" s="2" t="s">
        <v>5</v>
      </c>
      <c r="D27" s="3">
        <v>5.8</v>
      </c>
      <c r="E27" s="3">
        <v>59</v>
      </c>
      <c r="F27" s="2" t="s">
        <v>7</v>
      </c>
      <c r="G27" s="2" t="s">
        <v>22</v>
      </c>
      <c r="H27" s="2" t="s">
        <v>9</v>
      </c>
      <c r="I27" s="2">
        <f t="shared" si="0"/>
        <v>1.7678400000000001</v>
      </c>
      <c r="J27" s="1">
        <f t="shared" si="1"/>
        <v>18.899999999999999</v>
      </c>
    </row>
    <row r="28" spans="1:10" x14ac:dyDescent="0.3">
      <c r="A28" s="2" t="s">
        <v>129</v>
      </c>
      <c r="B28" s="3">
        <v>30</v>
      </c>
      <c r="C28" s="2" t="s">
        <v>5</v>
      </c>
      <c r="D28" s="3" t="s">
        <v>11</v>
      </c>
      <c r="E28" s="3">
        <v>46</v>
      </c>
      <c r="F28" s="2" t="s">
        <v>12</v>
      </c>
      <c r="G28" s="2" t="s">
        <v>13</v>
      </c>
      <c r="H28" s="2" t="s">
        <v>20</v>
      </c>
      <c r="I28" s="2">
        <f t="shared" si="0"/>
        <v>1.8288000000000002</v>
      </c>
      <c r="J28" s="1">
        <f t="shared" si="1"/>
        <v>13.8</v>
      </c>
    </row>
    <row r="29" spans="1:10" x14ac:dyDescent="0.3">
      <c r="A29" s="2" t="s">
        <v>128</v>
      </c>
      <c r="B29" s="3">
        <v>28</v>
      </c>
      <c r="C29" s="2" t="s">
        <v>5</v>
      </c>
      <c r="D29" s="3" t="s">
        <v>11</v>
      </c>
      <c r="E29" s="3">
        <v>45</v>
      </c>
      <c r="F29" s="2" t="s">
        <v>12</v>
      </c>
      <c r="G29" s="2" t="s">
        <v>26</v>
      </c>
      <c r="H29" s="2" t="s">
        <v>9</v>
      </c>
      <c r="I29" s="2">
        <f t="shared" si="0"/>
        <v>1.8288000000000002</v>
      </c>
      <c r="J29" s="1">
        <f t="shared" si="1"/>
        <v>13.5</v>
      </c>
    </row>
    <row r="30" spans="1:10" x14ac:dyDescent="0.3">
      <c r="A30" s="2" t="s">
        <v>31</v>
      </c>
      <c r="B30" s="3">
        <v>21</v>
      </c>
      <c r="C30" s="2" t="s">
        <v>5</v>
      </c>
      <c r="D30" s="3" t="s">
        <v>32</v>
      </c>
      <c r="E30" s="3">
        <v>50</v>
      </c>
      <c r="F30" s="2" t="s">
        <v>12</v>
      </c>
      <c r="G30" s="2" t="s">
        <v>8</v>
      </c>
      <c r="H30" s="2" t="s">
        <v>9</v>
      </c>
      <c r="I30" s="2">
        <f t="shared" si="0"/>
        <v>1.6459200000000003</v>
      </c>
      <c r="J30" s="1">
        <f t="shared" si="1"/>
        <v>18.5</v>
      </c>
    </row>
    <row r="31" spans="1:10" x14ac:dyDescent="0.3">
      <c r="A31" s="2" t="s">
        <v>17</v>
      </c>
      <c r="B31" s="3">
        <v>20</v>
      </c>
      <c r="C31" s="2" t="s">
        <v>5</v>
      </c>
      <c r="D31" s="3" t="s">
        <v>18</v>
      </c>
      <c r="E31" s="3">
        <v>42</v>
      </c>
      <c r="F31" s="2" t="s">
        <v>12</v>
      </c>
      <c r="G31" s="2" t="s">
        <v>8</v>
      </c>
      <c r="H31" s="2" t="s">
        <v>9</v>
      </c>
      <c r="I31" s="2">
        <f t="shared" si="0"/>
        <v>1.5849600000000001</v>
      </c>
      <c r="J31" s="1">
        <f t="shared" si="1"/>
        <v>16.7</v>
      </c>
    </row>
    <row r="32" spans="1:10" x14ac:dyDescent="0.3">
      <c r="A32" s="2" t="s">
        <v>75</v>
      </c>
      <c r="B32" s="3">
        <v>45</v>
      </c>
      <c r="C32" s="2" t="s">
        <v>5</v>
      </c>
      <c r="D32" s="3" t="s">
        <v>11</v>
      </c>
      <c r="E32" s="3">
        <v>75</v>
      </c>
      <c r="F32" s="2" t="s">
        <v>12</v>
      </c>
      <c r="G32" s="2" t="s">
        <v>26</v>
      </c>
      <c r="H32" s="2" t="s">
        <v>20</v>
      </c>
      <c r="I32" s="2">
        <f t="shared" si="0"/>
        <v>1.8288000000000002</v>
      </c>
      <c r="J32" s="1">
        <f t="shared" si="1"/>
        <v>22.4</v>
      </c>
    </row>
    <row r="33" spans="1:10" x14ac:dyDescent="0.3">
      <c r="A33" s="2" t="s">
        <v>65</v>
      </c>
      <c r="B33" s="3">
        <v>21</v>
      </c>
      <c r="C33" s="2" t="s">
        <v>5</v>
      </c>
      <c r="D33" s="3">
        <v>5.4</v>
      </c>
      <c r="E33" s="3">
        <v>60</v>
      </c>
      <c r="F33" s="2" t="s">
        <v>7</v>
      </c>
      <c r="G33" s="2" t="s">
        <v>22</v>
      </c>
      <c r="H33" s="2" t="s">
        <v>14</v>
      </c>
      <c r="I33" s="2">
        <f t="shared" si="0"/>
        <v>1.6459200000000003</v>
      </c>
      <c r="J33" s="1">
        <f t="shared" si="1"/>
        <v>22.1</v>
      </c>
    </row>
    <row r="34" spans="1:10" x14ac:dyDescent="0.3">
      <c r="A34" s="2" t="s">
        <v>35</v>
      </c>
      <c r="B34" s="3">
        <v>20</v>
      </c>
      <c r="C34" s="2" t="s">
        <v>36</v>
      </c>
      <c r="D34" s="3">
        <v>5.6</v>
      </c>
      <c r="E34" s="3">
        <v>65</v>
      </c>
      <c r="F34" s="2" t="s">
        <v>12</v>
      </c>
      <c r="G34" s="2" t="s">
        <v>8</v>
      </c>
      <c r="H34" s="2" t="s">
        <v>9</v>
      </c>
      <c r="I34" s="2">
        <f t="shared" si="0"/>
        <v>1.70688</v>
      </c>
      <c r="J34" s="1">
        <f t="shared" si="1"/>
        <v>22.3</v>
      </c>
    </row>
    <row r="35" spans="1:10" x14ac:dyDescent="0.3">
      <c r="A35" s="2" t="s">
        <v>121</v>
      </c>
      <c r="B35" s="3">
        <v>18</v>
      </c>
      <c r="C35" s="2" t="s">
        <v>36</v>
      </c>
      <c r="D35" s="3" t="s">
        <v>46</v>
      </c>
      <c r="E35" s="3">
        <v>54</v>
      </c>
      <c r="F35" s="2" t="s">
        <v>12</v>
      </c>
      <c r="G35" s="2" t="s">
        <v>26</v>
      </c>
      <c r="H35" s="2" t="s">
        <v>9</v>
      </c>
      <c r="I35" s="2">
        <f t="shared" si="0"/>
        <v>1.7983200000000001</v>
      </c>
      <c r="J35" s="1">
        <f t="shared" si="1"/>
        <v>16.7</v>
      </c>
    </row>
    <row r="36" spans="1:10" x14ac:dyDescent="0.3">
      <c r="A36" s="2" t="s">
        <v>92</v>
      </c>
      <c r="B36" s="3">
        <v>19</v>
      </c>
      <c r="C36" s="2" t="s">
        <v>5</v>
      </c>
      <c r="D36" s="3">
        <v>5</v>
      </c>
      <c r="E36" s="3">
        <v>80</v>
      </c>
      <c r="F36" s="2" t="s">
        <v>12</v>
      </c>
      <c r="G36" s="2" t="s">
        <v>8</v>
      </c>
      <c r="H36" s="2" t="s">
        <v>9</v>
      </c>
      <c r="I36" s="2">
        <f t="shared" si="0"/>
        <v>1.524</v>
      </c>
      <c r="J36" s="1">
        <f t="shared" si="1"/>
        <v>34.4</v>
      </c>
    </row>
    <row r="37" spans="1:10" x14ac:dyDescent="0.3">
      <c r="A37" s="2" t="s">
        <v>100</v>
      </c>
      <c r="B37" s="3">
        <v>19</v>
      </c>
      <c r="C37" s="2" t="s">
        <v>5</v>
      </c>
      <c r="D37" s="3" t="s">
        <v>84</v>
      </c>
      <c r="E37" s="3">
        <v>56</v>
      </c>
      <c r="F37" s="2" t="s">
        <v>12</v>
      </c>
      <c r="G37" s="2" t="s">
        <v>8</v>
      </c>
      <c r="H37" s="2" t="s">
        <v>9</v>
      </c>
      <c r="I37" s="2">
        <f t="shared" si="0"/>
        <v>1.4935200000000002</v>
      </c>
      <c r="J37" s="1">
        <f t="shared" si="1"/>
        <v>25.1</v>
      </c>
    </row>
    <row r="38" spans="1:10" x14ac:dyDescent="0.3">
      <c r="A38" s="2" t="s">
        <v>107</v>
      </c>
      <c r="B38" s="3">
        <v>19</v>
      </c>
      <c r="C38" s="2" t="s">
        <v>5</v>
      </c>
      <c r="D38" s="3">
        <v>5.2</v>
      </c>
      <c r="E38" s="3">
        <v>50</v>
      </c>
      <c r="F38" s="2" t="s">
        <v>12</v>
      </c>
      <c r="G38" s="2" t="s">
        <v>8</v>
      </c>
      <c r="H38" s="2" t="s">
        <v>9</v>
      </c>
      <c r="I38" s="2">
        <f t="shared" si="0"/>
        <v>1.5849600000000001</v>
      </c>
      <c r="J38" s="1">
        <f t="shared" si="1"/>
        <v>19.899999999999999</v>
      </c>
    </row>
    <row r="39" spans="1:10" x14ac:dyDescent="0.3">
      <c r="A39" s="2" t="s">
        <v>108</v>
      </c>
      <c r="B39" s="3">
        <v>20</v>
      </c>
      <c r="C39" s="2" t="s">
        <v>5</v>
      </c>
      <c r="D39" s="3" t="s">
        <v>44</v>
      </c>
      <c r="E39" s="3">
        <v>79</v>
      </c>
      <c r="F39" s="2" t="s">
        <v>7</v>
      </c>
      <c r="G39" s="2" t="s">
        <v>22</v>
      </c>
      <c r="H39" s="2" t="s">
        <v>14</v>
      </c>
      <c r="I39" s="2">
        <f t="shared" si="0"/>
        <v>1.7373600000000002</v>
      </c>
      <c r="J39" s="1">
        <f t="shared" si="1"/>
        <v>26.2</v>
      </c>
    </row>
    <row r="40" spans="1:10" x14ac:dyDescent="0.3">
      <c r="A40" s="2" t="s">
        <v>85</v>
      </c>
      <c r="B40" s="3">
        <v>18</v>
      </c>
      <c r="C40" s="2" t="s">
        <v>36</v>
      </c>
      <c r="D40" s="3">
        <v>5.5</v>
      </c>
      <c r="E40" s="3">
        <v>54</v>
      </c>
      <c r="F40" s="2" t="s">
        <v>25</v>
      </c>
      <c r="G40" s="2" t="s">
        <v>26</v>
      </c>
      <c r="H40" s="2" t="s">
        <v>14</v>
      </c>
      <c r="I40" s="2">
        <f t="shared" si="0"/>
        <v>1.6764000000000001</v>
      </c>
      <c r="J40" s="1">
        <f t="shared" si="1"/>
        <v>19.2</v>
      </c>
    </row>
    <row r="41" spans="1:10" x14ac:dyDescent="0.3">
      <c r="A41" s="2" t="s">
        <v>66</v>
      </c>
      <c r="B41" s="3">
        <v>20</v>
      </c>
      <c r="C41" s="2" t="s">
        <v>5</v>
      </c>
      <c r="D41" s="3">
        <v>6</v>
      </c>
      <c r="E41" s="3">
        <v>45</v>
      </c>
      <c r="F41" s="2" t="s">
        <v>7</v>
      </c>
      <c r="G41" s="2" t="s">
        <v>13</v>
      </c>
      <c r="H41" s="2" t="s">
        <v>9</v>
      </c>
      <c r="I41" s="2">
        <f t="shared" si="0"/>
        <v>1.8288000000000002</v>
      </c>
      <c r="J41" s="1">
        <f t="shared" si="1"/>
        <v>13.5</v>
      </c>
    </row>
    <row r="42" spans="1:10" x14ac:dyDescent="0.3">
      <c r="A42" s="2" t="s">
        <v>87</v>
      </c>
      <c r="B42" s="3">
        <v>25</v>
      </c>
      <c r="C42" s="2" t="s">
        <v>5</v>
      </c>
      <c r="D42" s="3">
        <v>5.4</v>
      </c>
      <c r="E42" s="3">
        <v>58</v>
      </c>
      <c r="F42" s="2" t="s">
        <v>7</v>
      </c>
      <c r="G42" s="2" t="s">
        <v>13</v>
      </c>
      <c r="H42" s="2" t="s">
        <v>9</v>
      </c>
      <c r="I42" s="2">
        <f t="shared" si="0"/>
        <v>1.6459200000000003</v>
      </c>
      <c r="J42" s="1">
        <f t="shared" si="1"/>
        <v>21.4</v>
      </c>
    </row>
    <row r="43" spans="1:10" x14ac:dyDescent="0.3">
      <c r="A43" s="2" t="s">
        <v>52</v>
      </c>
      <c r="B43" s="3">
        <v>20</v>
      </c>
      <c r="C43" s="2" t="s">
        <v>5</v>
      </c>
      <c r="D43" s="3" t="s">
        <v>24</v>
      </c>
      <c r="E43" s="3">
        <v>41</v>
      </c>
      <c r="F43" s="2" t="s">
        <v>25</v>
      </c>
      <c r="G43" s="2" t="s">
        <v>26</v>
      </c>
      <c r="H43" s="2" t="s">
        <v>14</v>
      </c>
      <c r="I43" s="2">
        <f t="shared" si="0"/>
        <v>1.61544</v>
      </c>
      <c r="J43" s="1">
        <f t="shared" si="1"/>
        <v>15.7</v>
      </c>
    </row>
    <row r="44" spans="1:10" x14ac:dyDescent="0.3">
      <c r="A44" s="2" t="s">
        <v>15</v>
      </c>
      <c r="B44" s="3">
        <v>20</v>
      </c>
      <c r="C44" s="2" t="s">
        <v>5</v>
      </c>
      <c r="D44" s="3" t="s">
        <v>16</v>
      </c>
      <c r="E44" s="3">
        <v>41</v>
      </c>
      <c r="F44" s="2" t="s">
        <v>12</v>
      </c>
      <c r="G44" s="2" t="s">
        <v>8</v>
      </c>
      <c r="H44" s="2" t="s">
        <v>14</v>
      </c>
      <c r="I44" s="2">
        <f t="shared" si="0"/>
        <v>1.2496799999999999</v>
      </c>
      <c r="J44" s="1">
        <f t="shared" si="1"/>
        <v>26.3</v>
      </c>
    </row>
    <row r="45" spans="1:10" x14ac:dyDescent="0.3">
      <c r="A45" s="2" t="s">
        <v>105</v>
      </c>
      <c r="B45" s="3">
        <v>18</v>
      </c>
      <c r="C45" s="2" t="s">
        <v>5</v>
      </c>
      <c r="D45" s="3" t="s">
        <v>18</v>
      </c>
      <c r="E45" s="3">
        <v>70</v>
      </c>
      <c r="F45" s="2" t="s">
        <v>12</v>
      </c>
      <c r="G45" s="2" t="s">
        <v>8</v>
      </c>
      <c r="H45" s="2" t="s">
        <v>9</v>
      </c>
      <c r="I45" s="2">
        <f t="shared" si="0"/>
        <v>1.5849600000000001</v>
      </c>
      <c r="J45" s="1">
        <f t="shared" si="1"/>
        <v>27.9</v>
      </c>
    </row>
    <row r="46" spans="1:10" x14ac:dyDescent="0.3">
      <c r="A46" s="2" t="s">
        <v>76</v>
      </c>
      <c r="B46" s="3">
        <v>15</v>
      </c>
      <c r="C46" s="2" t="s">
        <v>5</v>
      </c>
      <c r="D46" s="3" t="s">
        <v>62</v>
      </c>
      <c r="E46" s="3">
        <v>40</v>
      </c>
      <c r="F46" s="2" t="s">
        <v>12</v>
      </c>
      <c r="G46" s="2" t="s">
        <v>26</v>
      </c>
      <c r="H46" s="2" t="s">
        <v>20</v>
      </c>
      <c r="I46" s="2">
        <f t="shared" si="0"/>
        <v>1.2192000000000001</v>
      </c>
      <c r="J46" s="1">
        <f t="shared" si="1"/>
        <v>26.9</v>
      </c>
    </row>
    <row r="47" spans="1:10" x14ac:dyDescent="0.3">
      <c r="A47" s="2" t="s">
        <v>74</v>
      </c>
      <c r="B47" s="3">
        <v>58</v>
      </c>
      <c r="C47" s="2" t="s">
        <v>36</v>
      </c>
      <c r="D47" s="3" t="s">
        <v>46</v>
      </c>
      <c r="E47" s="3">
        <v>80</v>
      </c>
      <c r="F47" s="2" t="s">
        <v>12</v>
      </c>
      <c r="G47" s="2" t="s">
        <v>26</v>
      </c>
      <c r="H47" s="2" t="s">
        <v>20</v>
      </c>
      <c r="I47" s="2">
        <f t="shared" si="0"/>
        <v>1.7983200000000001</v>
      </c>
      <c r="J47" s="1">
        <f t="shared" si="1"/>
        <v>24.7</v>
      </c>
    </row>
    <row r="48" spans="1:10" x14ac:dyDescent="0.3">
      <c r="A48" s="2" t="s">
        <v>124</v>
      </c>
      <c r="B48" s="3">
        <v>19</v>
      </c>
      <c r="C48" s="2" t="s">
        <v>5</v>
      </c>
      <c r="D48" s="3" t="s">
        <v>125</v>
      </c>
      <c r="E48" s="3">
        <v>45</v>
      </c>
      <c r="F48" s="2" t="s">
        <v>25</v>
      </c>
      <c r="G48" s="2" t="s">
        <v>26</v>
      </c>
      <c r="H48" s="2" t="s">
        <v>9</v>
      </c>
      <c r="I48" s="2">
        <f t="shared" si="0"/>
        <v>1.4630400000000001</v>
      </c>
      <c r="J48" s="1">
        <f t="shared" si="1"/>
        <v>21</v>
      </c>
    </row>
    <row r="49" spans="1:10" x14ac:dyDescent="0.3">
      <c r="A49" s="2" t="s">
        <v>73</v>
      </c>
      <c r="B49" s="3">
        <v>55</v>
      </c>
      <c r="C49" s="2" t="s">
        <v>36</v>
      </c>
      <c r="D49" s="3" t="s">
        <v>46</v>
      </c>
      <c r="E49" s="3">
        <v>80</v>
      </c>
      <c r="F49" s="2" t="s">
        <v>12</v>
      </c>
      <c r="G49" s="2" t="s">
        <v>26</v>
      </c>
      <c r="H49" s="2" t="s">
        <v>20</v>
      </c>
      <c r="I49" s="2">
        <f t="shared" si="0"/>
        <v>1.7983200000000001</v>
      </c>
      <c r="J49" s="1">
        <f t="shared" si="1"/>
        <v>24.7</v>
      </c>
    </row>
    <row r="50" spans="1:10" x14ac:dyDescent="0.3">
      <c r="A50" s="2" t="s">
        <v>60</v>
      </c>
      <c r="B50" s="3">
        <v>21</v>
      </c>
      <c r="C50" s="2" t="s">
        <v>5</v>
      </c>
      <c r="D50" s="3" t="s">
        <v>18</v>
      </c>
      <c r="E50" s="3">
        <v>36</v>
      </c>
      <c r="F50" s="2" t="s">
        <v>12</v>
      </c>
      <c r="G50" s="2" t="s">
        <v>26</v>
      </c>
      <c r="H50" s="2" t="s">
        <v>9</v>
      </c>
      <c r="I50" s="2">
        <f t="shared" si="0"/>
        <v>1.5849600000000001</v>
      </c>
      <c r="J50" s="1">
        <f t="shared" si="1"/>
        <v>14.3</v>
      </c>
    </row>
    <row r="51" spans="1:10" x14ac:dyDescent="0.3">
      <c r="A51" s="2" t="s">
        <v>89</v>
      </c>
      <c r="B51" s="3">
        <v>20</v>
      </c>
      <c r="C51" s="2" t="s">
        <v>5</v>
      </c>
      <c r="D51" s="3" t="s">
        <v>6</v>
      </c>
      <c r="E51" s="3">
        <v>75</v>
      </c>
      <c r="F51" s="2" t="s">
        <v>12</v>
      </c>
      <c r="G51" s="2" t="s">
        <v>8</v>
      </c>
      <c r="H51" s="2" t="s">
        <v>9</v>
      </c>
      <c r="I51" s="2">
        <f t="shared" si="0"/>
        <v>1.524</v>
      </c>
      <c r="J51" s="1">
        <f t="shared" si="1"/>
        <v>32.299999999999997</v>
      </c>
    </row>
    <row r="52" spans="1:10" x14ac:dyDescent="0.3">
      <c r="A52" s="2" t="s">
        <v>103</v>
      </c>
      <c r="B52" s="3">
        <v>23</v>
      </c>
      <c r="C52" s="2" t="s">
        <v>36</v>
      </c>
      <c r="D52" s="3" t="s">
        <v>49</v>
      </c>
      <c r="E52" s="3">
        <v>58</v>
      </c>
      <c r="F52" s="2" t="s">
        <v>12</v>
      </c>
      <c r="G52" s="2" t="s">
        <v>26</v>
      </c>
      <c r="H52" s="2" t="s">
        <v>9</v>
      </c>
      <c r="I52" s="2">
        <f t="shared" si="0"/>
        <v>1.6764000000000001</v>
      </c>
      <c r="J52" s="1">
        <f t="shared" si="1"/>
        <v>20.6</v>
      </c>
    </row>
    <row r="53" spans="1:10" x14ac:dyDescent="0.3">
      <c r="A53" s="2" t="s">
        <v>88</v>
      </c>
      <c r="B53" s="3">
        <v>19</v>
      </c>
      <c r="C53" s="2" t="s">
        <v>5</v>
      </c>
      <c r="D53" s="3">
        <v>5</v>
      </c>
      <c r="E53" s="3">
        <v>55</v>
      </c>
      <c r="F53" s="2" t="s">
        <v>12</v>
      </c>
      <c r="G53" s="2" t="s">
        <v>26</v>
      </c>
      <c r="H53" s="2" t="s">
        <v>9</v>
      </c>
      <c r="I53" s="2">
        <f t="shared" si="0"/>
        <v>1.524</v>
      </c>
      <c r="J53" s="1">
        <f t="shared" si="1"/>
        <v>23.7</v>
      </c>
    </row>
    <row r="54" spans="1:10" x14ac:dyDescent="0.3">
      <c r="A54" s="2" t="s">
        <v>33</v>
      </c>
      <c r="B54" s="3">
        <v>20</v>
      </c>
      <c r="C54" s="2" t="s">
        <v>5</v>
      </c>
      <c r="D54" s="3" t="s">
        <v>24</v>
      </c>
      <c r="E54" s="3">
        <v>52</v>
      </c>
      <c r="F54" s="2" t="s">
        <v>25</v>
      </c>
      <c r="G54" s="2" t="s">
        <v>26</v>
      </c>
      <c r="H54" s="2" t="s">
        <v>9</v>
      </c>
      <c r="I54" s="2">
        <f t="shared" si="0"/>
        <v>1.61544</v>
      </c>
      <c r="J54" s="1">
        <f t="shared" si="1"/>
        <v>19.899999999999999</v>
      </c>
    </row>
    <row r="55" spans="1:10" x14ac:dyDescent="0.3">
      <c r="A55" s="2" t="s">
        <v>94</v>
      </c>
      <c r="B55" s="3">
        <v>19</v>
      </c>
      <c r="C55" s="2" t="s">
        <v>5</v>
      </c>
      <c r="D55" s="3" t="s">
        <v>18</v>
      </c>
      <c r="E55" s="4">
        <v>50</v>
      </c>
      <c r="F55" s="2" t="s">
        <v>12</v>
      </c>
      <c r="G55" s="2" t="s">
        <v>13</v>
      </c>
      <c r="H55" s="2" t="s">
        <v>14</v>
      </c>
      <c r="I55" s="2">
        <f t="shared" si="0"/>
        <v>1.5849600000000001</v>
      </c>
      <c r="J55" s="1">
        <f t="shared" si="1"/>
        <v>19.899999999999999</v>
      </c>
    </row>
    <row r="56" spans="1:10" x14ac:dyDescent="0.3">
      <c r="A56" s="2" t="s">
        <v>134</v>
      </c>
      <c r="B56" s="3">
        <v>19</v>
      </c>
      <c r="C56" s="2" t="s">
        <v>5</v>
      </c>
      <c r="D56" s="3" t="s">
        <v>18</v>
      </c>
      <c r="E56" s="3">
        <v>46</v>
      </c>
      <c r="F56" s="2" t="s">
        <v>12</v>
      </c>
      <c r="G56" s="2" t="s">
        <v>8</v>
      </c>
      <c r="H56" s="2" t="s">
        <v>14</v>
      </c>
      <c r="I56" s="2">
        <f t="shared" si="0"/>
        <v>1.5849600000000001</v>
      </c>
      <c r="J56" s="1">
        <f t="shared" si="1"/>
        <v>18.3</v>
      </c>
    </row>
    <row r="57" spans="1:10" x14ac:dyDescent="0.3">
      <c r="A57" s="2" t="s">
        <v>59</v>
      </c>
      <c r="B57" s="3">
        <v>36</v>
      </c>
      <c r="C57" s="2" t="s">
        <v>5</v>
      </c>
      <c r="D57" s="3" t="s">
        <v>32</v>
      </c>
      <c r="E57" s="3">
        <v>52</v>
      </c>
      <c r="F57" s="2" t="s">
        <v>25</v>
      </c>
      <c r="G57" s="2" t="s">
        <v>8</v>
      </c>
      <c r="H57" s="2" t="s">
        <v>9</v>
      </c>
      <c r="I57" s="2">
        <f t="shared" si="0"/>
        <v>1.6459200000000003</v>
      </c>
      <c r="J57" s="1">
        <f t="shared" si="1"/>
        <v>19.2</v>
      </c>
    </row>
    <row r="58" spans="1:10" x14ac:dyDescent="0.3">
      <c r="A58" s="2" t="s">
        <v>91</v>
      </c>
      <c r="B58" s="3">
        <v>21</v>
      </c>
      <c r="C58" s="2" t="s">
        <v>5</v>
      </c>
      <c r="D58" s="3" t="s">
        <v>6</v>
      </c>
      <c r="E58" s="3">
        <v>37</v>
      </c>
      <c r="F58" s="2" t="s">
        <v>12</v>
      </c>
      <c r="G58" s="2" t="s">
        <v>22</v>
      </c>
      <c r="H58" s="2" t="s">
        <v>20</v>
      </c>
      <c r="I58" s="2">
        <f t="shared" si="0"/>
        <v>1.524</v>
      </c>
      <c r="J58" s="1">
        <f t="shared" si="1"/>
        <v>15.9</v>
      </c>
    </row>
    <row r="59" spans="1:10" x14ac:dyDescent="0.3">
      <c r="A59" s="2" t="s">
        <v>51</v>
      </c>
      <c r="B59" s="3">
        <v>14</v>
      </c>
      <c r="C59" s="2" t="s">
        <v>5</v>
      </c>
      <c r="D59" s="3">
        <v>5</v>
      </c>
      <c r="E59" s="3">
        <v>40</v>
      </c>
      <c r="F59" s="2" t="s">
        <v>12</v>
      </c>
      <c r="G59" s="2" t="s">
        <v>13</v>
      </c>
      <c r="H59" s="2" t="s">
        <v>9</v>
      </c>
      <c r="I59" s="2">
        <f t="shared" si="0"/>
        <v>1.524</v>
      </c>
      <c r="J59" s="1">
        <f t="shared" si="1"/>
        <v>17.2</v>
      </c>
    </row>
    <row r="60" spans="1:10" x14ac:dyDescent="0.3">
      <c r="A60" s="2" t="s">
        <v>110</v>
      </c>
      <c r="B60" s="3">
        <v>20</v>
      </c>
      <c r="C60" s="2" t="s">
        <v>5</v>
      </c>
      <c r="D60" s="3" t="s">
        <v>84</v>
      </c>
      <c r="E60" s="3">
        <v>47</v>
      </c>
      <c r="F60" s="2" t="s">
        <v>12</v>
      </c>
      <c r="G60" s="2" t="s">
        <v>13</v>
      </c>
      <c r="H60" s="2" t="s">
        <v>14</v>
      </c>
      <c r="I60" s="2">
        <f t="shared" si="0"/>
        <v>1.4935200000000002</v>
      </c>
      <c r="J60" s="1">
        <f t="shared" si="1"/>
        <v>21.1</v>
      </c>
    </row>
    <row r="61" spans="1:10" x14ac:dyDescent="0.3">
      <c r="A61" s="2" t="s">
        <v>99</v>
      </c>
      <c r="B61" s="3">
        <v>19</v>
      </c>
      <c r="C61" s="2" t="s">
        <v>5</v>
      </c>
      <c r="D61" s="3">
        <v>5.4</v>
      </c>
      <c r="E61" s="3">
        <v>70</v>
      </c>
      <c r="F61" s="2" t="s">
        <v>12</v>
      </c>
      <c r="G61" s="2" t="s">
        <v>26</v>
      </c>
      <c r="H61" s="2" t="s">
        <v>9</v>
      </c>
      <c r="I61" s="2">
        <f t="shared" si="0"/>
        <v>1.6459200000000003</v>
      </c>
      <c r="J61" s="1">
        <f t="shared" si="1"/>
        <v>25.8</v>
      </c>
    </row>
    <row r="62" spans="1:10" x14ac:dyDescent="0.3">
      <c r="A62" s="2" t="s">
        <v>72</v>
      </c>
      <c r="B62" s="3">
        <v>60</v>
      </c>
      <c r="C62" s="2" t="s">
        <v>36</v>
      </c>
      <c r="D62" s="3" t="s">
        <v>46</v>
      </c>
      <c r="E62" s="3">
        <v>79</v>
      </c>
      <c r="F62" s="2" t="s">
        <v>12</v>
      </c>
      <c r="G62" s="2" t="s">
        <v>8</v>
      </c>
      <c r="H62" s="2" t="s">
        <v>20</v>
      </c>
      <c r="I62" s="2">
        <f t="shared" si="0"/>
        <v>1.7983200000000001</v>
      </c>
      <c r="J62" s="1">
        <f t="shared" si="1"/>
        <v>24.4</v>
      </c>
    </row>
    <row r="63" spans="1:10" x14ac:dyDescent="0.3">
      <c r="A63" s="2" t="s">
        <v>136</v>
      </c>
      <c r="B63" s="3">
        <v>32</v>
      </c>
      <c r="C63" s="2" t="s">
        <v>36</v>
      </c>
      <c r="D63" s="3" t="s">
        <v>125</v>
      </c>
      <c r="E63" s="3">
        <v>70</v>
      </c>
      <c r="F63" s="2" t="s">
        <v>25</v>
      </c>
      <c r="G63" s="2" t="s">
        <v>26</v>
      </c>
      <c r="H63" s="2" t="s">
        <v>20</v>
      </c>
      <c r="I63" s="2">
        <f t="shared" si="0"/>
        <v>1.4630400000000001</v>
      </c>
      <c r="J63" s="1">
        <f t="shared" si="1"/>
        <v>32.700000000000003</v>
      </c>
    </row>
    <row r="64" spans="1:10" x14ac:dyDescent="0.3">
      <c r="A64" s="2" t="s">
        <v>117</v>
      </c>
      <c r="B64" s="3">
        <v>20</v>
      </c>
      <c r="C64" s="2" t="s">
        <v>5</v>
      </c>
      <c r="D64" s="3">
        <v>5.2</v>
      </c>
      <c r="E64" s="3">
        <v>64</v>
      </c>
      <c r="F64" s="2" t="s">
        <v>25</v>
      </c>
      <c r="G64" s="2" t="s">
        <v>26</v>
      </c>
      <c r="H64" s="2" t="s">
        <v>14</v>
      </c>
      <c r="I64" s="2">
        <f t="shared" si="0"/>
        <v>1.5849600000000001</v>
      </c>
      <c r="J64" s="1">
        <f t="shared" si="1"/>
        <v>25.5</v>
      </c>
    </row>
    <row r="65" spans="1:10" x14ac:dyDescent="0.3">
      <c r="A65" s="2" t="s">
        <v>93</v>
      </c>
      <c r="B65" s="3">
        <v>20</v>
      </c>
      <c r="C65" s="2" t="s">
        <v>5</v>
      </c>
      <c r="D65" s="3">
        <v>5.4</v>
      </c>
      <c r="E65" s="3">
        <v>46</v>
      </c>
      <c r="F65" s="2" t="s">
        <v>12</v>
      </c>
      <c r="G65" s="2" t="s">
        <v>13</v>
      </c>
      <c r="H65" s="2" t="s">
        <v>9</v>
      </c>
      <c r="I65" s="2">
        <f t="shared" si="0"/>
        <v>1.6459200000000003</v>
      </c>
      <c r="J65" s="1">
        <f t="shared" si="1"/>
        <v>17</v>
      </c>
    </row>
    <row r="66" spans="1:10" x14ac:dyDescent="0.3">
      <c r="A66" s="2" t="s">
        <v>116</v>
      </c>
      <c r="B66" s="3">
        <v>18</v>
      </c>
      <c r="C66" s="2" t="s">
        <v>36</v>
      </c>
      <c r="D66" s="3">
        <v>5.5</v>
      </c>
      <c r="E66" s="3">
        <v>54</v>
      </c>
      <c r="F66" s="2" t="s">
        <v>25</v>
      </c>
      <c r="G66" s="2" t="s">
        <v>26</v>
      </c>
      <c r="H66" s="2" t="s">
        <v>14</v>
      </c>
      <c r="I66" s="2">
        <f t="shared" ref="I66:I108" si="2">D66*0.3048</f>
        <v>1.6764000000000001</v>
      </c>
      <c r="J66" s="1">
        <f t="shared" si="1"/>
        <v>19.2</v>
      </c>
    </row>
    <row r="67" spans="1:10" x14ac:dyDescent="0.3">
      <c r="A67" s="2" t="s">
        <v>86</v>
      </c>
      <c r="B67" s="3">
        <v>19</v>
      </c>
      <c r="C67" s="2" t="s">
        <v>5</v>
      </c>
      <c r="D67" s="3">
        <v>5.2</v>
      </c>
      <c r="E67" s="3">
        <v>67</v>
      </c>
      <c r="F67" s="2" t="s">
        <v>25</v>
      </c>
      <c r="G67" s="2" t="s">
        <v>26</v>
      </c>
      <c r="H67" s="2" t="s">
        <v>9</v>
      </c>
      <c r="I67" s="2">
        <f t="shared" si="2"/>
        <v>1.5849600000000001</v>
      </c>
      <c r="J67" s="1">
        <f t="shared" ref="J67:J108" si="3">ROUND(E67/(I67^2), 1)</f>
        <v>26.7</v>
      </c>
    </row>
    <row r="68" spans="1:10" x14ac:dyDescent="0.3">
      <c r="A68" s="2" t="s">
        <v>50</v>
      </c>
      <c r="B68" s="3">
        <v>25</v>
      </c>
      <c r="C68" s="2" t="s">
        <v>36</v>
      </c>
      <c r="D68" s="3" t="s">
        <v>46</v>
      </c>
      <c r="E68" s="3">
        <v>75</v>
      </c>
      <c r="F68" s="2" t="s">
        <v>7</v>
      </c>
      <c r="G68" s="2" t="s">
        <v>26</v>
      </c>
      <c r="H68" s="2" t="s">
        <v>9</v>
      </c>
      <c r="I68" s="2">
        <f t="shared" si="2"/>
        <v>1.7983200000000001</v>
      </c>
      <c r="J68" s="1">
        <f t="shared" si="3"/>
        <v>23.2</v>
      </c>
    </row>
    <row r="69" spans="1:10" x14ac:dyDescent="0.3">
      <c r="A69" s="2" t="s">
        <v>118</v>
      </c>
      <c r="B69" s="3">
        <v>21</v>
      </c>
      <c r="C69" s="2" t="s">
        <v>36</v>
      </c>
      <c r="D69" s="3">
        <v>5.6</v>
      </c>
      <c r="E69" s="3">
        <v>68</v>
      </c>
      <c r="F69" s="2" t="s">
        <v>12</v>
      </c>
      <c r="G69" s="2" t="s">
        <v>8</v>
      </c>
      <c r="H69" s="2" t="s">
        <v>9</v>
      </c>
      <c r="I69" s="2">
        <f t="shared" si="2"/>
        <v>1.70688</v>
      </c>
      <c r="J69" s="1">
        <f t="shared" si="3"/>
        <v>23.3</v>
      </c>
    </row>
    <row r="70" spans="1:10" x14ac:dyDescent="0.3">
      <c r="A70" s="2" t="s">
        <v>30</v>
      </c>
      <c r="B70" s="3">
        <v>19</v>
      </c>
      <c r="C70" s="2" t="s">
        <v>5</v>
      </c>
      <c r="D70" s="3">
        <v>5.4</v>
      </c>
      <c r="E70" s="3">
        <v>37</v>
      </c>
      <c r="F70" s="2" t="s">
        <v>12</v>
      </c>
      <c r="G70" s="2" t="s">
        <v>8</v>
      </c>
      <c r="H70" s="2" t="s">
        <v>14</v>
      </c>
      <c r="I70" s="2">
        <f t="shared" si="2"/>
        <v>1.6459200000000003</v>
      </c>
      <c r="J70" s="1">
        <f t="shared" si="3"/>
        <v>13.7</v>
      </c>
    </row>
    <row r="71" spans="1:10" x14ac:dyDescent="0.3">
      <c r="A71" s="2" t="s">
        <v>113</v>
      </c>
      <c r="B71" s="3">
        <v>24</v>
      </c>
      <c r="C71" s="2" t="s">
        <v>36</v>
      </c>
      <c r="D71" s="3" t="s">
        <v>29</v>
      </c>
      <c r="E71" s="3">
        <v>58</v>
      </c>
      <c r="F71" s="2" t="s">
        <v>12</v>
      </c>
      <c r="G71" s="2" t="s">
        <v>26</v>
      </c>
      <c r="H71" s="2" t="s">
        <v>14</v>
      </c>
      <c r="I71" s="2">
        <f t="shared" si="2"/>
        <v>1.70688</v>
      </c>
      <c r="J71" s="1">
        <f t="shared" si="3"/>
        <v>19.899999999999999</v>
      </c>
    </row>
    <row r="72" spans="1:10" x14ac:dyDescent="0.3">
      <c r="A72" s="2" t="s">
        <v>40</v>
      </c>
      <c r="B72" s="3">
        <v>21</v>
      </c>
      <c r="C72" s="2" t="s">
        <v>5</v>
      </c>
      <c r="D72" s="3">
        <v>5.8</v>
      </c>
      <c r="E72" s="3">
        <v>53</v>
      </c>
      <c r="F72" s="2" t="s">
        <v>12</v>
      </c>
      <c r="G72" s="2" t="s">
        <v>22</v>
      </c>
      <c r="H72" s="2" t="s">
        <v>14</v>
      </c>
      <c r="I72" s="2">
        <f t="shared" si="2"/>
        <v>1.7678400000000001</v>
      </c>
      <c r="J72" s="1">
        <f t="shared" si="3"/>
        <v>17</v>
      </c>
    </row>
    <row r="73" spans="1:10" x14ac:dyDescent="0.3">
      <c r="A73" s="2" t="s">
        <v>28</v>
      </c>
      <c r="B73" s="3">
        <v>19</v>
      </c>
      <c r="C73" s="2" t="s">
        <v>5</v>
      </c>
      <c r="D73" s="3" t="s">
        <v>29</v>
      </c>
      <c r="E73" s="3">
        <v>45</v>
      </c>
      <c r="F73" s="2" t="s">
        <v>12</v>
      </c>
      <c r="G73" s="2" t="s">
        <v>22</v>
      </c>
      <c r="H73" s="2" t="s">
        <v>20</v>
      </c>
      <c r="I73" s="2">
        <f t="shared" si="2"/>
        <v>1.70688</v>
      </c>
      <c r="J73" s="1">
        <f t="shared" si="3"/>
        <v>15.4</v>
      </c>
    </row>
    <row r="74" spans="1:10" x14ac:dyDescent="0.3">
      <c r="A74" s="2" t="s">
        <v>42</v>
      </c>
      <c r="B74" s="3">
        <v>19</v>
      </c>
      <c r="C74" s="2" t="s">
        <v>5</v>
      </c>
      <c r="D74" s="3">
        <v>5.4</v>
      </c>
      <c r="E74" s="3">
        <v>47</v>
      </c>
      <c r="F74" s="2" t="s">
        <v>7</v>
      </c>
      <c r="G74" s="2" t="s">
        <v>26</v>
      </c>
      <c r="H74" s="2" t="s">
        <v>9</v>
      </c>
      <c r="I74" s="2">
        <f t="shared" si="2"/>
        <v>1.6459200000000003</v>
      </c>
      <c r="J74" s="1">
        <f t="shared" si="3"/>
        <v>17.3</v>
      </c>
    </row>
    <row r="75" spans="1:10" x14ac:dyDescent="0.3">
      <c r="A75" s="2" t="s">
        <v>39</v>
      </c>
      <c r="B75" s="3">
        <v>20</v>
      </c>
      <c r="C75" s="2" t="s">
        <v>5</v>
      </c>
      <c r="D75" s="3">
        <v>4.9000000000000004</v>
      </c>
      <c r="E75" s="3">
        <v>60</v>
      </c>
      <c r="F75" s="2" t="s">
        <v>7</v>
      </c>
      <c r="G75" s="2" t="s">
        <v>22</v>
      </c>
      <c r="H75" s="2" t="s">
        <v>9</v>
      </c>
      <c r="I75" s="2">
        <f t="shared" si="2"/>
        <v>1.4935200000000002</v>
      </c>
      <c r="J75" s="1">
        <f t="shared" si="3"/>
        <v>26.9</v>
      </c>
    </row>
    <row r="76" spans="1:10" x14ac:dyDescent="0.3">
      <c r="A76" s="2" t="s">
        <v>70</v>
      </c>
      <c r="B76" s="3">
        <v>55</v>
      </c>
      <c r="C76" s="2" t="s">
        <v>5</v>
      </c>
      <c r="D76" s="3" t="s">
        <v>11</v>
      </c>
      <c r="E76" s="3">
        <v>80</v>
      </c>
      <c r="F76" s="2" t="s">
        <v>25</v>
      </c>
      <c r="G76" s="2" t="s">
        <v>26</v>
      </c>
      <c r="H76" s="2" t="s">
        <v>20</v>
      </c>
      <c r="I76" s="2">
        <f t="shared" si="2"/>
        <v>1.8288000000000002</v>
      </c>
      <c r="J76" s="1">
        <f t="shared" si="3"/>
        <v>23.9</v>
      </c>
    </row>
    <row r="77" spans="1:10" x14ac:dyDescent="0.3">
      <c r="A77" s="2" t="s">
        <v>71</v>
      </c>
      <c r="B77" s="3">
        <v>21</v>
      </c>
      <c r="C77" s="2" t="s">
        <v>5</v>
      </c>
      <c r="D77" s="3" t="s">
        <v>6</v>
      </c>
      <c r="E77" s="3">
        <v>49</v>
      </c>
      <c r="F77" s="2" t="s">
        <v>12</v>
      </c>
      <c r="G77" s="2" t="s">
        <v>8</v>
      </c>
      <c r="H77" s="2" t="s">
        <v>14</v>
      </c>
      <c r="I77" s="2">
        <f t="shared" si="2"/>
        <v>1.524</v>
      </c>
      <c r="J77" s="1">
        <f t="shared" si="3"/>
        <v>21.1</v>
      </c>
    </row>
    <row r="78" spans="1:10" x14ac:dyDescent="0.3">
      <c r="A78" s="2" t="s">
        <v>53</v>
      </c>
      <c r="B78" s="3">
        <v>20</v>
      </c>
      <c r="C78" s="2" t="s">
        <v>5</v>
      </c>
      <c r="D78" s="3" t="s">
        <v>6</v>
      </c>
      <c r="E78" s="3">
        <v>35</v>
      </c>
      <c r="F78" s="2" t="s">
        <v>12</v>
      </c>
      <c r="G78" s="2" t="s">
        <v>26</v>
      </c>
      <c r="H78" s="2" t="s">
        <v>14</v>
      </c>
      <c r="I78" s="2">
        <f t="shared" si="2"/>
        <v>1.524</v>
      </c>
      <c r="J78" s="1">
        <f t="shared" si="3"/>
        <v>15.1</v>
      </c>
    </row>
    <row r="79" spans="1:10" x14ac:dyDescent="0.3">
      <c r="A79" s="2" t="s">
        <v>123</v>
      </c>
      <c r="B79" s="3">
        <v>18</v>
      </c>
      <c r="C79" s="2" t="s">
        <v>5</v>
      </c>
      <c r="D79" s="3">
        <v>6</v>
      </c>
      <c r="E79" s="3">
        <v>67</v>
      </c>
      <c r="F79" s="2" t="s">
        <v>12</v>
      </c>
      <c r="G79" s="2" t="s">
        <v>26</v>
      </c>
      <c r="H79" s="2" t="s">
        <v>20</v>
      </c>
      <c r="I79" s="2">
        <f t="shared" si="2"/>
        <v>1.8288000000000002</v>
      </c>
      <c r="J79" s="1">
        <f t="shared" si="3"/>
        <v>20</v>
      </c>
    </row>
    <row r="80" spans="1:10" x14ac:dyDescent="0.3">
      <c r="A80" s="2" t="s">
        <v>77</v>
      </c>
      <c r="B80" s="3">
        <v>65</v>
      </c>
      <c r="C80" s="2" t="s">
        <v>5</v>
      </c>
      <c r="D80" s="3" t="s">
        <v>11</v>
      </c>
      <c r="E80" s="3">
        <v>78</v>
      </c>
      <c r="F80" s="2" t="s">
        <v>12</v>
      </c>
      <c r="G80" s="2" t="s">
        <v>13</v>
      </c>
      <c r="H80" s="2" t="s">
        <v>20</v>
      </c>
      <c r="I80" s="2">
        <f t="shared" si="2"/>
        <v>1.8288000000000002</v>
      </c>
      <c r="J80" s="1">
        <f t="shared" si="3"/>
        <v>23.3</v>
      </c>
    </row>
    <row r="81" spans="1:10" x14ac:dyDescent="0.3">
      <c r="A81" s="2" t="s">
        <v>45</v>
      </c>
      <c r="B81" s="3">
        <v>21</v>
      </c>
      <c r="C81" s="2" t="s">
        <v>36</v>
      </c>
      <c r="D81" s="3" t="s">
        <v>46</v>
      </c>
      <c r="E81" s="3">
        <v>61</v>
      </c>
      <c r="F81" s="2" t="s">
        <v>7</v>
      </c>
      <c r="G81" s="2" t="s">
        <v>26</v>
      </c>
      <c r="H81" s="2" t="s">
        <v>9</v>
      </c>
      <c r="I81" s="2">
        <f t="shared" si="2"/>
        <v>1.7983200000000001</v>
      </c>
      <c r="J81" s="1">
        <f t="shared" si="3"/>
        <v>18.899999999999999</v>
      </c>
    </row>
    <row r="82" spans="1:10" x14ac:dyDescent="0.3">
      <c r="A82" s="2" t="s">
        <v>135</v>
      </c>
      <c r="B82" s="3">
        <v>19</v>
      </c>
      <c r="C82" s="2" t="s">
        <v>5</v>
      </c>
      <c r="D82" s="3" t="s">
        <v>18</v>
      </c>
      <c r="E82" s="3">
        <v>52</v>
      </c>
      <c r="F82" s="2" t="s">
        <v>12</v>
      </c>
      <c r="G82" s="2" t="s">
        <v>8</v>
      </c>
      <c r="H82" s="2" t="s">
        <v>9</v>
      </c>
      <c r="I82" s="2">
        <f t="shared" si="2"/>
        <v>1.5849600000000001</v>
      </c>
      <c r="J82" s="1">
        <f t="shared" si="3"/>
        <v>20.7</v>
      </c>
    </row>
    <row r="83" spans="1:10" x14ac:dyDescent="0.3">
      <c r="A83" s="2" t="s">
        <v>126</v>
      </c>
      <c r="B83" s="3">
        <v>43</v>
      </c>
      <c r="C83" s="2" t="s">
        <v>5</v>
      </c>
      <c r="D83" s="3">
        <v>5</v>
      </c>
      <c r="E83" s="3">
        <v>55</v>
      </c>
      <c r="F83" s="2" t="s">
        <v>12</v>
      </c>
      <c r="G83" s="2" t="s">
        <v>26</v>
      </c>
      <c r="H83" s="2" t="s">
        <v>9</v>
      </c>
      <c r="I83" s="2">
        <f t="shared" si="2"/>
        <v>1.524</v>
      </c>
      <c r="J83" s="1">
        <f t="shared" si="3"/>
        <v>23.7</v>
      </c>
    </row>
    <row r="84" spans="1:10" x14ac:dyDescent="0.3">
      <c r="A84" s="2" t="s">
        <v>43</v>
      </c>
      <c r="B84" s="3">
        <v>24</v>
      </c>
      <c r="C84" s="2" t="s">
        <v>36</v>
      </c>
      <c r="D84" s="3" t="s">
        <v>44</v>
      </c>
      <c r="E84" s="3">
        <v>58</v>
      </c>
      <c r="F84" s="2" t="s">
        <v>7</v>
      </c>
      <c r="G84" s="2" t="s">
        <v>13</v>
      </c>
      <c r="H84" s="2" t="s">
        <v>9</v>
      </c>
      <c r="I84" s="2">
        <f t="shared" si="2"/>
        <v>1.7373600000000002</v>
      </c>
      <c r="J84" s="1">
        <f t="shared" si="3"/>
        <v>19.2</v>
      </c>
    </row>
    <row r="85" spans="1:10" x14ac:dyDescent="0.3">
      <c r="A85" s="2" t="s">
        <v>67</v>
      </c>
      <c r="B85" s="3">
        <v>20</v>
      </c>
      <c r="C85" s="2" t="s">
        <v>5</v>
      </c>
      <c r="D85" s="3" t="s">
        <v>44</v>
      </c>
      <c r="E85" s="3">
        <v>58</v>
      </c>
      <c r="F85" s="2" t="s">
        <v>12</v>
      </c>
      <c r="G85" s="2" t="s">
        <v>26</v>
      </c>
      <c r="H85" s="2" t="s">
        <v>9</v>
      </c>
      <c r="I85" s="2">
        <f t="shared" si="2"/>
        <v>1.7373600000000002</v>
      </c>
      <c r="J85" s="1">
        <f t="shared" si="3"/>
        <v>19.2</v>
      </c>
    </row>
    <row r="86" spans="1:10" x14ac:dyDescent="0.3">
      <c r="A86" s="2" t="s">
        <v>90</v>
      </c>
      <c r="B86" s="3">
        <v>20</v>
      </c>
      <c r="C86" s="2" t="s">
        <v>5</v>
      </c>
      <c r="D86" s="3" t="s">
        <v>44</v>
      </c>
      <c r="E86" s="3">
        <v>50</v>
      </c>
      <c r="F86" s="2" t="s">
        <v>7</v>
      </c>
      <c r="G86" s="2" t="s">
        <v>26</v>
      </c>
      <c r="H86" s="2" t="s">
        <v>9</v>
      </c>
      <c r="I86" s="2">
        <f t="shared" si="2"/>
        <v>1.7373600000000002</v>
      </c>
      <c r="J86" s="1">
        <f t="shared" si="3"/>
        <v>16.600000000000001</v>
      </c>
    </row>
    <row r="87" spans="1:10" x14ac:dyDescent="0.3">
      <c r="A87" s="2" t="s">
        <v>111</v>
      </c>
      <c r="B87" s="3">
        <v>19</v>
      </c>
      <c r="C87" s="2" t="s">
        <v>5</v>
      </c>
      <c r="D87" s="3" t="s">
        <v>112</v>
      </c>
      <c r="E87" s="3">
        <v>70</v>
      </c>
      <c r="F87" s="2" t="s">
        <v>12</v>
      </c>
      <c r="G87" s="2" t="s">
        <v>8</v>
      </c>
      <c r="H87" s="2" t="s">
        <v>14</v>
      </c>
      <c r="I87" s="2">
        <f t="shared" si="2"/>
        <v>1.5544799999999999</v>
      </c>
      <c r="J87" s="1">
        <f t="shared" si="3"/>
        <v>29</v>
      </c>
    </row>
    <row r="88" spans="1:10" x14ac:dyDescent="0.3">
      <c r="A88" s="2" t="s">
        <v>83</v>
      </c>
      <c r="B88" s="3">
        <v>40</v>
      </c>
      <c r="C88" s="2" t="s">
        <v>5</v>
      </c>
      <c r="D88" s="3" t="s">
        <v>84</v>
      </c>
      <c r="E88" s="3">
        <v>70</v>
      </c>
      <c r="F88" s="2" t="s">
        <v>12</v>
      </c>
      <c r="G88" s="2" t="s">
        <v>26</v>
      </c>
      <c r="H88" s="2" t="s">
        <v>20</v>
      </c>
      <c r="I88" s="2">
        <f t="shared" si="2"/>
        <v>1.4935200000000002</v>
      </c>
      <c r="J88" s="1">
        <f t="shared" si="3"/>
        <v>31.4</v>
      </c>
    </row>
    <row r="89" spans="1:10" x14ac:dyDescent="0.3">
      <c r="A89" s="2" t="s">
        <v>138</v>
      </c>
      <c r="B89" s="3">
        <v>20</v>
      </c>
      <c r="C89" s="2" t="s">
        <v>5</v>
      </c>
      <c r="D89" s="3" t="s">
        <v>6</v>
      </c>
      <c r="E89" s="3">
        <v>48</v>
      </c>
      <c r="F89" s="2" t="s">
        <v>12</v>
      </c>
      <c r="G89" s="2" t="s">
        <v>26</v>
      </c>
      <c r="H89" s="2" t="s">
        <v>14</v>
      </c>
      <c r="I89" s="2">
        <f t="shared" si="2"/>
        <v>1.524</v>
      </c>
      <c r="J89" s="1">
        <f t="shared" si="3"/>
        <v>20.7</v>
      </c>
    </row>
    <row r="90" spans="1:10" x14ac:dyDescent="0.3">
      <c r="A90" s="2" t="s">
        <v>127</v>
      </c>
      <c r="B90" s="3">
        <v>50</v>
      </c>
      <c r="C90" s="2" t="s">
        <v>36</v>
      </c>
      <c r="D90" s="3">
        <v>5</v>
      </c>
      <c r="E90" s="3">
        <v>56</v>
      </c>
      <c r="F90" s="2" t="s">
        <v>12</v>
      </c>
      <c r="G90" s="2" t="s">
        <v>26</v>
      </c>
      <c r="H90" s="2" t="s">
        <v>9</v>
      </c>
      <c r="I90" s="2">
        <f t="shared" si="2"/>
        <v>1.524</v>
      </c>
      <c r="J90" s="1">
        <f t="shared" si="3"/>
        <v>24.1</v>
      </c>
    </row>
    <row r="91" spans="1:10" x14ac:dyDescent="0.3">
      <c r="A91" s="2" t="s">
        <v>96</v>
      </c>
      <c r="B91" s="3">
        <v>19</v>
      </c>
      <c r="C91" s="2" t="s">
        <v>5</v>
      </c>
      <c r="D91" s="3">
        <v>4.9000000000000004</v>
      </c>
      <c r="E91" s="3">
        <v>50</v>
      </c>
      <c r="F91" s="2" t="s">
        <v>12</v>
      </c>
      <c r="G91" s="2" t="s">
        <v>8</v>
      </c>
      <c r="H91" s="2" t="s">
        <v>9</v>
      </c>
      <c r="I91" s="2">
        <f t="shared" si="2"/>
        <v>1.4935200000000002</v>
      </c>
      <c r="J91" s="1">
        <f t="shared" si="3"/>
        <v>22.4</v>
      </c>
    </row>
    <row r="92" spans="1:10" x14ac:dyDescent="0.3">
      <c r="A92" s="2" t="s">
        <v>58</v>
      </c>
      <c r="B92" s="3">
        <v>20</v>
      </c>
      <c r="C92" s="2" t="s">
        <v>36</v>
      </c>
      <c r="D92" s="3" t="s">
        <v>32</v>
      </c>
      <c r="E92" s="3">
        <v>60</v>
      </c>
      <c r="F92" s="2" t="s">
        <v>12</v>
      </c>
      <c r="G92" s="2" t="s">
        <v>26</v>
      </c>
      <c r="H92" s="2" t="s">
        <v>14</v>
      </c>
      <c r="I92" s="2">
        <f t="shared" si="2"/>
        <v>1.6459200000000003</v>
      </c>
      <c r="J92" s="1">
        <f t="shared" si="3"/>
        <v>22.1</v>
      </c>
    </row>
    <row r="93" spans="1:10" x14ac:dyDescent="0.3">
      <c r="A93" s="2" t="s">
        <v>137</v>
      </c>
      <c r="B93" s="3">
        <v>20</v>
      </c>
      <c r="C93" s="2" t="s">
        <v>5</v>
      </c>
      <c r="D93" s="3">
        <v>5</v>
      </c>
      <c r="E93" s="3">
        <v>81</v>
      </c>
      <c r="F93" s="2" t="s">
        <v>12</v>
      </c>
      <c r="G93" s="2" t="s">
        <v>13</v>
      </c>
      <c r="H93" s="2" t="s">
        <v>14</v>
      </c>
      <c r="I93" s="2">
        <f t="shared" si="2"/>
        <v>1.524</v>
      </c>
      <c r="J93" s="1">
        <f t="shared" si="3"/>
        <v>34.9</v>
      </c>
    </row>
    <row r="94" spans="1:10" x14ac:dyDescent="0.3">
      <c r="A94" s="2" t="s">
        <v>38</v>
      </c>
      <c r="B94" s="3">
        <v>20</v>
      </c>
      <c r="C94" s="2" t="s">
        <v>5</v>
      </c>
      <c r="D94" s="3">
        <v>4.5</v>
      </c>
      <c r="E94" s="3">
        <v>58</v>
      </c>
      <c r="F94" s="2" t="s">
        <v>12</v>
      </c>
      <c r="G94" s="2" t="s">
        <v>26</v>
      </c>
      <c r="H94" s="2" t="s">
        <v>9</v>
      </c>
      <c r="I94" s="2">
        <f t="shared" si="2"/>
        <v>1.3716000000000002</v>
      </c>
      <c r="J94" s="1">
        <f t="shared" si="3"/>
        <v>30.8</v>
      </c>
    </row>
    <row r="95" spans="1:10" x14ac:dyDescent="0.3">
      <c r="A95" s="2" t="s">
        <v>34</v>
      </c>
      <c r="B95" s="3">
        <v>19</v>
      </c>
      <c r="C95" s="2" t="s">
        <v>5</v>
      </c>
      <c r="D95" s="3">
        <v>5.7</v>
      </c>
      <c r="E95" s="3">
        <v>57</v>
      </c>
      <c r="F95" s="2" t="s">
        <v>25</v>
      </c>
      <c r="G95" s="2" t="s">
        <v>26</v>
      </c>
      <c r="H95" s="2" t="s">
        <v>9</v>
      </c>
      <c r="I95" s="2">
        <f t="shared" si="2"/>
        <v>1.7373600000000002</v>
      </c>
      <c r="J95" s="1">
        <f t="shared" si="3"/>
        <v>18.899999999999999</v>
      </c>
    </row>
    <row r="96" spans="1:10" x14ac:dyDescent="0.3">
      <c r="A96" s="2" t="s">
        <v>10</v>
      </c>
      <c r="B96" s="3">
        <v>20</v>
      </c>
      <c r="C96" s="2" t="s">
        <v>5</v>
      </c>
      <c r="D96" s="3" t="s">
        <v>11</v>
      </c>
      <c r="E96" s="3">
        <v>60</v>
      </c>
      <c r="F96" s="2" t="s">
        <v>12</v>
      </c>
      <c r="G96" s="2" t="s">
        <v>13</v>
      </c>
      <c r="H96" s="2" t="s">
        <v>14</v>
      </c>
      <c r="I96" s="2">
        <f t="shared" si="2"/>
        <v>1.8288000000000002</v>
      </c>
      <c r="J96" s="1">
        <f t="shared" si="3"/>
        <v>17.899999999999999</v>
      </c>
    </row>
    <row r="97" spans="1:10" x14ac:dyDescent="0.3">
      <c r="A97" s="2" t="s">
        <v>130</v>
      </c>
      <c r="B97" s="3">
        <v>20</v>
      </c>
      <c r="C97" s="2" t="s">
        <v>5</v>
      </c>
      <c r="D97" s="3" t="s">
        <v>24</v>
      </c>
      <c r="E97" s="3">
        <v>43</v>
      </c>
      <c r="F97" s="2" t="s">
        <v>12</v>
      </c>
      <c r="G97" s="2" t="s">
        <v>13</v>
      </c>
      <c r="H97" s="2" t="s">
        <v>14</v>
      </c>
      <c r="I97" s="2">
        <f t="shared" si="2"/>
        <v>1.61544</v>
      </c>
      <c r="J97" s="1">
        <f t="shared" si="3"/>
        <v>16.5</v>
      </c>
    </row>
    <row r="98" spans="1:10" x14ac:dyDescent="0.3">
      <c r="A98" s="2" t="s">
        <v>104</v>
      </c>
      <c r="B98" s="3">
        <v>19</v>
      </c>
      <c r="C98" s="2" t="s">
        <v>5</v>
      </c>
      <c r="D98" s="3">
        <v>5</v>
      </c>
      <c r="E98" s="3">
        <v>48</v>
      </c>
      <c r="F98" s="2" t="s">
        <v>12</v>
      </c>
      <c r="G98" s="2" t="s">
        <v>13</v>
      </c>
      <c r="H98" s="2" t="s">
        <v>14</v>
      </c>
      <c r="I98" s="2">
        <f t="shared" si="2"/>
        <v>1.524</v>
      </c>
      <c r="J98" s="1">
        <f t="shared" si="3"/>
        <v>20.7</v>
      </c>
    </row>
    <row r="99" spans="1:10" x14ac:dyDescent="0.3">
      <c r="A99" s="2" t="s">
        <v>133</v>
      </c>
      <c r="B99" s="3">
        <v>20</v>
      </c>
      <c r="C99" s="2" t="s">
        <v>5</v>
      </c>
      <c r="D99" s="3" t="s">
        <v>32</v>
      </c>
      <c r="E99" s="3">
        <v>52</v>
      </c>
      <c r="F99" s="2" t="s">
        <v>25</v>
      </c>
      <c r="G99" s="2" t="s">
        <v>26</v>
      </c>
      <c r="H99" s="2" t="s">
        <v>9</v>
      </c>
      <c r="I99" s="2">
        <f t="shared" si="2"/>
        <v>1.6459200000000003</v>
      </c>
      <c r="J99" s="1">
        <f t="shared" si="3"/>
        <v>19.2</v>
      </c>
    </row>
    <row r="100" spans="1:10" x14ac:dyDescent="0.3">
      <c r="A100" s="2" t="s">
        <v>47</v>
      </c>
      <c r="B100" s="3">
        <v>20</v>
      </c>
      <c r="C100" s="2" t="s">
        <v>5</v>
      </c>
      <c r="D100" s="3" t="s">
        <v>6</v>
      </c>
      <c r="E100" s="3">
        <v>62</v>
      </c>
      <c r="F100" s="2" t="s">
        <v>7</v>
      </c>
      <c r="G100" s="2" t="s">
        <v>13</v>
      </c>
      <c r="H100" s="2" t="s">
        <v>14</v>
      </c>
      <c r="I100" s="2">
        <f t="shared" si="2"/>
        <v>1.524</v>
      </c>
      <c r="J100" s="1">
        <f t="shared" si="3"/>
        <v>26.7</v>
      </c>
    </row>
    <row r="101" spans="1:10" x14ac:dyDescent="0.3">
      <c r="A101" s="2" t="s">
        <v>37</v>
      </c>
      <c r="B101" s="3">
        <v>21</v>
      </c>
      <c r="C101" s="2" t="s">
        <v>36</v>
      </c>
      <c r="D101" s="3">
        <v>5.8</v>
      </c>
      <c r="E101" s="3">
        <v>73</v>
      </c>
      <c r="F101" s="2" t="s">
        <v>12</v>
      </c>
      <c r="G101" s="2" t="s">
        <v>22</v>
      </c>
      <c r="H101" s="2" t="s">
        <v>9</v>
      </c>
      <c r="I101" s="2">
        <f t="shared" si="2"/>
        <v>1.7678400000000001</v>
      </c>
      <c r="J101" s="1">
        <f t="shared" si="3"/>
        <v>23.4</v>
      </c>
    </row>
    <row r="102" spans="1:10" x14ac:dyDescent="0.3">
      <c r="A102" s="2" t="s">
        <v>132</v>
      </c>
      <c r="B102" s="3">
        <v>23</v>
      </c>
      <c r="C102" s="2" t="s">
        <v>36</v>
      </c>
      <c r="D102" s="3" t="s">
        <v>46</v>
      </c>
      <c r="E102" s="3">
        <v>60</v>
      </c>
      <c r="F102" s="2" t="s">
        <v>7</v>
      </c>
      <c r="G102" s="2" t="s">
        <v>26</v>
      </c>
      <c r="H102" s="2" t="s">
        <v>9</v>
      </c>
      <c r="I102" s="2">
        <f t="shared" si="2"/>
        <v>1.7983200000000001</v>
      </c>
      <c r="J102" s="1">
        <f t="shared" si="3"/>
        <v>18.600000000000001</v>
      </c>
    </row>
    <row r="103" spans="1:10" x14ac:dyDescent="0.3">
      <c r="A103" s="2" t="s">
        <v>106</v>
      </c>
      <c r="B103" s="3">
        <v>19</v>
      </c>
      <c r="C103" s="2" t="s">
        <v>5</v>
      </c>
      <c r="D103" s="3" t="s">
        <v>18</v>
      </c>
      <c r="E103" s="3">
        <v>50</v>
      </c>
      <c r="F103" s="2" t="s">
        <v>25</v>
      </c>
      <c r="G103" s="2" t="s">
        <v>26</v>
      </c>
      <c r="H103" s="2" t="s">
        <v>14</v>
      </c>
      <c r="I103" s="2">
        <f t="shared" si="2"/>
        <v>1.5849600000000001</v>
      </c>
      <c r="J103" s="1">
        <f t="shared" si="3"/>
        <v>19.899999999999999</v>
      </c>
    </row>
    <row r="104" spans="1:10" x14ac:dyDescent="0.3">
      <c r="A104" s="2" t="s">
        <v>54</v>
      </c>
      <c r="B104" s="3">
        <v>24</v>
      </c>
      <c r="C104" s="2" t="s">
        <v>36</v>
      </c>
      <c r="D104" s="3" t="s">
        <v>29</v>
      </c>
      <c r="E104" s="3">
        <v>68</v>
      </c>
      <c r="F104" s="2" t="s">
        <v>7</v>
      </c>
      <c r="G104" s="2" t="s">
        <v>8</v>
      </c>
      <c r="H104" s="2" t="s">
        <v>9</v>
      </c>
      <c r="I104" s="2">
        <f t="shared" si="2"/>
        <v>1.70688</v>
      </c>
      <c r="J104" s="1">
        <f t="shared" si="3"/>
        <v>23.3</v>
      </c>
    </row>
    <row r="105" spans="1:10" x14ac:dyDescent="0.3">
      <c r="A105" s="2" t="s">
        <v>68</v>
      </c>
      <c r="B105" s="3">
        <v>47</v>
      </c>
      <c r="C105" s="2" t="s">
        <v>5</v>
      </c>
      <c r="D105" s="3" t="s">
        <v>69</v>
      </c>
      <c r="E105" s="3">
        <v>70</v>
      </c>
      <c r="F105" s="2" t="s">
        <v>25</v>
      </c>
      <c r="G105" s="2" t="s">
        <v>26</v>
      </c>
      <c r="H105" s="2" t="s">
        <v>20</v>
      </c>
      <c r="I105" s="2">
        <f t="shared" si="2"/>
        <v>1.0668</v>
      </c>
      <c r="J105" s="1">
        <f t="shared" si="3"/>
        <v>61.5</v>
      </c>
    </row>
    <row r="106" spans="1:10" x14ac:dyDescent="0.3">
      <c r="A106" s="2" t="s">
        <v>4</v>
      </c>
      <c r="B106" s="3">
        <v>18</v>
      </c>
      <c r="C106" s="2" t="s">
        <v>5</v>
      </c>
      <c r="D106" s="3" t="s">
        <v>6</v>
      </c>
      <c r="E106" s="3">
        <v>65</v>
      </c>
      <c r="F106" s="2" t="s">
        <v>7</v>
      </c>
      <c r="G106" s="2" t="s">
        <v>8</v>
      </c>
      <c r="H106" s="2" t="s">
        <v>9</v>
      </c>
      <c r="I106" s="2">
        <f t="shared" si="2"/>
        <v>1.524</v>
      </c>
      <c r="J106" s="1">
        <f t="shared" si="3"/>
        <v>28</v>
      </c>
    </row>
    <row r="107" spans="1:10" x14ac:dyDescent="0.3">
      <c r="A107" s="2" t="s">
        <v>115</v>
      </c>
      <c r="B107" s="3">
        <v>19</v>
      </c>
      <c r="C107" s="2" t="s">
        <v>36</v>
      </c>
      <c r="D107" s="3">
        <v>6</v>
      </c>
      <c r="E107" s="3">
        <v>75</v>
      </c>
      <c r="F107" s="2" t="s">
        <v>12</v>
      </c>
      <c r="G107" s="2" t="s">
        <v>8</v>
      </c>
      <c r="H107" s="2" t="s">
        <v>9</v>
      </c>
      <c r="I107" s="2">
        <f t="shared" si="2"/>
        <v>1.8288000000000002</v>
      </c>
      <c r="J107" s="1">
        <f t="shared" si="3"/>
        <v>22.4</v>
      </c>
    </row>
    <row r="108" spans="1:10" x14ac:dyDescent="0.3">
      <c r="A108" s="2" t="s">
        <v>57</v>
      </c>
      <c r="B108" s="3">
        <v>23</v>
      </c>
      <c r="C108" s="2" t="s">
        <v>36</v>
      </c>
      <c r="D108" s="3" t="s">
        <v>46</v>
      </c>
      <c r="E108" s="3">
        <v>60</v>
      </c>
      <c r="F108" s="2" t="s">
        <v>7</v>
      </c>
      <c r="G108" s="2" t="s">
        <v>26</v>
      </c>
      <c r="H108" s="2" t="s">
        <v>9</v>
      </c>
      <c r="I108" s="2">
        <f t="shared" si="2"/>
        <v>1.7983200000000001</v>
      </c>
      <c r="J108" s="1">
        <f t="shared" si="3"/>
        <v>18.600000000000001</v>
      </c>
    </row>
  </sheetData>
  <conditionalFormatting sqref="A1:A108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94EF6D-9888-40FC-B9E7-1D53D9995F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Mamatha A U</dc:creator>
  <cp:lastModifiedBy>Mamatha A U</cp:lastModifiedBy>
  <cp:lastPrinted>2025-08-17T16:17:32Z</cp:lastPrinted>
  <dcterms:created xsi:type="dcterms:W3CDTF">2025-08-17T16:11:11Z</dcterms:created>
  <dcterms:modified xsi:type="dcterms:W3CDTF">2025-10-10T12:31:40Z</dcterms:modified>
</cp:coreProperties>
</file>