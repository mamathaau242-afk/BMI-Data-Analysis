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31605e2d8748ee/Desktop/"/>
    </mc:Choice>
  </mc:AlternateContent>
  <xr:revisionPtr revIDLastSave="2" documentId="8_{C0B42A06-EE39-4717-B8FC-28276D83F167}" xr6:coauthVersionLast="47" xr6:coauthVersionMax="47" xr10:uidLastSave="{2A232D6F-9294-4CD6-8893-6C2043A033AA}"/>
  <bookViews>
    <workbookView xWindow="-108" yWindow="-108" windowWidth="23256" windowHeight="13896" xr2:uid="{2B7BCBE9-B753-41C0-B0BD-ABF87C74F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108" i="1"/>
  <c r="I108" i="1"/>
  <c r="J108" i="1" s="1"/>
  <c r="K108" i="1" s="1"/>
  <c r="L107" i="1"/>
  <c r="I107" i="1"/>
  <c r="J107" i="1" s="1"/>
  <c r="K107" i="1" s="1"/>
  <c r="L106" i="1"/>
  <c r="I106" i="1"/>
  <c r="J106" i="1" s="1"/>
  <c r="K106" i="1" s="1"/>
  <c r="L105" i="1"/>
  <c r="I105" i="1"/>
  <c r="J105" i="1" s="1"/>
  <c r="K105" i="1" s="1"/>
  <c r="L104" i="1"/>
  <c r="I104" i="1"/>
  <c r="J104" i="1" s="1"/>
  <c r="K104" i="1" s="1"/>
  <c r="L103" i="1"/>
  <c r="I103" i="1"/>
  <c r="J103" i="1" s="1"/>
  <c r="K103" i="1" s="1"/>
  <c r="L102" i="1"/>
  <c r="I102" i="1"/>
  <c r="J102" i="1" s="1"/>
  <c r="K102" i="1" s="1"/>
  <c r="L101" i="1"/>
  <c r="I101" i="1"/>
  <c r="J101" i="1" s="1"/>
  <c r="K101" i="1" s="1"/>
  <c r="L100" i="1"/>
  <c r="I100" i="1"/>
  <c r="J100" i="1" s="1"/>
  <c r="K100" i="1" s="1"/>
  <c r="L99" i="1"/>
  <c r="I99" i="1"/>
  <c r="J99" i="1" s="1"/>
  <c r="K99" i="1" s="1"/>
  <c r="L98" i="1"/>
  <c r="I98" i="1"/>
  <c r="J98" i="1" s="1"/>
  <c r="K98" i="1" s="1"/>
  <c r="L97" i="1"/>
  <c r="J97" i="1"/>
  <c r="K97" i="1" s="1"/>
  <c r="I97" i="1"/>
  <c r="L96" i="1"/>
  <c r="I96" i="1"/>
  <c r="J96" i="1" s="1"/>
  <c r="K96" i="1" s="1"/>
  <c r="L95" i="1"/>
  <c r="I95" i="1"/>
  <c r="J95" i="1" s="1"/>
  <c r="K95" i="1" s="1"/>
  <c r="L94" i="1"/>
  <c r="I94" i="1"/>
  <c r="J94" i="1" s="1"/>
  <c r="K94" i="1" s="1"/>
  <c r="L93" i="1"/>
  <c r="I93" i="1"/>
  <c r="J93" i="1" s="1"/>
  <c r="K93" i="1" s="1"/>
  <c r="L92" i="1"/>
  <c r="I92" i="1"/>
  <c r="J92" i="1" s="1"/>
  <c r="K92" i="1" s="1"/>
  <c r="L91" i="1"/>
  <c r="I91" i="1"/>
  <c r="J91" i="1" s="1"/>
  <c r="K91" i="1" s="1"/>
  <c r="L90" i="1"/>
  <c r="I90" i="1"/>
  <c r="J90" i="1" s="1"/>
  <c r="K90" i="1" s="1"/>
  <c r="L89" i="1"/>
  <c r="I89" i="1"/>
  <c r="J89" i="1" s="1"/>
  <c r="K89" i="1" s="1"/>
  <c r="L88" i="1"/>
  <c r="I88" i="1"/>
  <c r="J88" i="1" s="1"/>
  <c r="K88" i="1" s="1"/>
  <c r="L87" i="1"/>
  <c r="I87" i="1"/>
  <c r="J87" i="1" s="1"/>
  <c r="K87" i="1" s="1"/>
  <c r="L86" i="1"/>
  <c r="K86" i="1"/>
  <c r="I86" i="1"/>
  <c r="J86" i="1" s="1"/>
  <c r="L85" i="1"/>
  <c r="I85" i="1"/>
  <c r="J85" i="1" s="1"/>
  <c r="K85" i="1" s="1"/>
  <c r="L84" i="1"/>
  <c r="I84" i="1"/>
  <c r="J84" i="1" s="1"/>
  <c r="K84" i="1" s="1"/>
  <c r="L83" i="1"/>
  <c r="I83" i="1"/>
  <c r="J83" i="1" s="1"/>
  <c r="K83" i="1" s="1"/>
  <c r="L82" i="1"/>
  <c r="I82" i="1"/>
  <c r="J82" i="1" s="1"/>
  <c r="K82" i="1" s="1"/>
  <c r="L81" i="1"/>
  <c r="I81" i="1"/>
  <c r="J81" i="1" s="1"/>
  <c r="K81" i="1" s="1"/>
  <c r="L80" i="1"/>
  <c r="I80" i="1"/>
  <c r="J80" i="1" s="1"/>
  <c r="K80" i="1" s="1"/>
  <c r="L79" i="1"/>
  <c r="I79" i="1"/>
  <c r="J79" i="1" s="1"/>
  <c r="K79" i="1" s="1"/>
  <c r="L78" i="1"/>
  <c r="I78" i="1"/>
  <c r="J78" i="1" s="1"/>
  <c r="K78" i="1" s="1"/>
  <c r="L77" i="1"/>
  <c r="I77" i="1"/>
  <c r="J77" i="1" s="1"/>
  <c r="K77" i="1" s="1"/>
  <c r="L76" i="1"/>
  <c r="I76" i="1"/>
  <c r="J76" i="1" s="1"/>
  <c r="K76" i="1" s="1"/>
  <c r="L75" i="1"/>
  <c r="I75" i="1"/>
  <c r="J75" i="1" s="1"/>
  <c r="K75" i="1" s="1"/>
  <c r="L74" i="1"/>
  <c r="I74" i="1"/>
  <c r="J74" i="1" s="1"/>
  <c r="K74" i="1" s="1"/>
  <c r="L73" i="1"/>
  <c r="I73" i="1"/>
  <c r="J73" i="1" s="1"/>
  <c r="K73" i="1" s="1"/>
  <c r="L72" i="1"/>
  <c r="I72" i="1"/>
  <c r="J72" i="1" s="1"/>
  <c r="K72" i="1" s="1"/>
  <c r="L71" i="1"/>
  <c r="I71" i="1"/>
  <c r="J71" i="1" s="1"/>
  <c r="K71" i="1" s="1"/>
  <c r="L70" i="1"/>
  <c r="J70" i="1"/>
  <c r="K70" i="1" s="1"/>
  <c r="I70" i="1"/>
  <c r="L69" i="1"/>
  <c r="I69" i="1"/>
  <c r="J69" i="1" s="1"/>
  <c r="K69" i="1" s="1"/>
  <c r="L68" i="1"/>
  <c r="I68" i="1"/>
  <c r="J68" i="1" s="1"/>
  <c r="K68" i="1" s="1"/>
  <c r="L67" i="1"/>
  <c r="I67" i="1"/>
  <c r="J67" i="1" s="1"/>
  <c r="K67" i="1" s="1"/>
  <c r="L66" i="1"/>
  <c r="I66" i="1"/>
  <c r="J66" i="1" s="1"/>
  <c r="K66" i="1" s="1"/>
  <c r="L65" i="1"/>
  <c r="I65" i="1"/>
  <c r="J65" i="1" s="1"/>
  <c r="K65" i="1" s="1"/>
  <c r="L64" i="1"/>
  <c r="I64" i="1"/>
  <c r="J64" i="1" s="1"/>
  <c r="K64" i="1" s="1"/>
  <c r="L63" i="1"/>
  <c r="I63" i="1"/>
  <c r="J63" i="1" s="1"/>
  <c r="K63" i="1" s="1"/>
  <c r="L62" i="1"/>
  <c r="I62" i="1"/>
  <c r="J62" i="1" s="1"/>
  <c r="K62" i="1" s="1"/>
  <c r="L61" i="1"/>
  <c r="I61" i="1"/>
  <c r="J61" i="1" s="1"/>
  <c r="K61" i="1" s="1"/>
  <c r="L60" i="1"/>
  <c r="I60" i="1"/>
  <c r="J60" i="1" s="1"/>
  <c r="K60" i="1" s="1"/>
  <c r="L59" i="1"/>
  <c r="I59" i="1"/>
  <c r="J59" i="1" s="1"/>
  <c r="K59" i="1" s="1"/>
  <c r="L58" i="1"/>
  <c r="I58" i="1"/>
  <c r="J58" i="1" s="1"/>
  <c r="K58" i="1" s="1"/>
  <c r="L57" i="1"/>
  <c r="I57" i="1"/>
  <c r="J57" i="1" s="1"/>
  <c r="K57" i="1" s="1"/>
  <c r="L56" i="1"/>
  <c r="I56" i="1"/>
  <c r="J56" i="1" s="1"/>
  <c r="K56" i="1" s="1"/>
  <c r="L55" i="1"/>
  <c r="I55" i="1"/>
  <c r="J55" i="1" s="1"/>
  <c r="K55" i="1" s="1"/>
  <c r="L54" i="1"/>
  <c r="I54" i="1"/>
  <c r="J54" i="1" s="1"/>
  <c r="K54" i="1" s="1"/>
  <c r="L53" i="1"/>
  <c r="I53" i="1"/>
  <c r="J53" i="1" s="1"/>
  <c r="K53" i="1" s="1"/>
  <c r="L52" i="1"/>
  <c r="I52" i="1"/>
  <c r="J52" i="1" s="1"/>
  <c r="K52" i="1" s="1"/>
  <c r="L51" i="1"/>
  <c r="I51" i="1"/>
  <c r="J51" i="1" s="1"/>
  <c r="K51" i="1" s="1"/>
  <c r="L50" i="1"/>
  <c r="I50" i="1"/>
  <c r="J50" i="1" s="1"/>
  <c r="K50" i="1" s="1"/>
  <c r="L49" i="1"/>
  <c r="I49" i="1"/>
  <c r="J49" i="1" s="1"/>
  <c r="K49" i="1" s="1"/>
  <c r="L48" i="1"/>
  <c r="I48" i="1"/>
  <c r="J48" i="1" s="1"/>
  <c r="K48" i="1" s="1"/>
  <c r="L47" i="1"/>
  <c r="J47" i="1"/>
  <c r="K47" i="1" s="1"/>
  <c r="I47" i="1"/>
  <c r="L46" i="1"/>
  <c r="I46" i="1"/>
  <c r="J46" i="1" s="1"/>
  <c r="K46" i="1" s="1"/>
  <c r="L45" i="1"/>
  <c r="I45" i="1"/>
  <c r="J45" i="1" s="1"/>
  <c r="K45" i="1" s="1"/>
  <c r="L44" i="1"/>
  <c r="I44" i="1"/>
  <c r="J44" i="1" s="1"/>
  <c r="K44" i="1" s="1"/>
  <c r="L43" i="1"/>
  <c r="I43" i="1"/>
  <c r="J43" i="1" s="1"/>
  <c r="K43" i="1" s="1"/>
  <c r="L42" i="1"/>
  <c r="I42" i="1"/>
  <c r="J42" i="1" s="1"/>
  <c r="K42" i="1" s="1"/>
  <c r="L41" i="1"/>
  <c r="I41" i="1"/>
  <c r="J41" i="1" s="1"/>
  <c r="K41" i="1" s="1"/>
  <c r="L40" i="1"/>
  <c r="I40" i="1"/>
  <c r="J40" i="1" s="1"/>
  <c r="K40" i="1" s="1"/>
  <c r="L39" i="1"/>
  <c r="I39" i="1"/>
  <c r="J39" i="1" s="1"/>
  <c r="K39" i="1" s="1"/>
  <c r="L38" i="1"/>
  <c r="I38" i="1"/>
  <c r="J38" i="1" s="1"/>
  <c r="K38" i="1" s="1"/>
  <c r="L37" i="1"/>
  <c r="I37" i="1"/>
  <c r="J37" i="1" s="1"/>
  <c r="K37" i="1" s="1"/>
  <c r="L36" i="1"/>
  <c r="I36" i="1"/>
  <c r="J36" i="1" s="1"/>
  <c r="K36" i="1" s="1"/>
  <c r="L35" i="1"/>
  <c r="I35" i="1"/>
  <c r="J35" i="1" s="1"/>
  <c r="K35" i="1" s="1"/>
  <c r="L34" i="1"/>
  <c r="I34" i="1"/>
  <c r="J34" i="1" s="1"/>
  <c r="K34" i="1" s="1"/>
  <c r="L33" i="1"/>
  <c r="I33" i="1"/>
  <c r="J33" i="1" s="1"/>
  <c r="K33" i="1" s="1"/>
  <c r="L32" i="1"/>
  <c r="I32" i="1"/>
  <c r="J32" i="1" s="1"/>
  <c r="K32" i="1" s="1"/>
  <c r="L31" i="1"/>
  <c r="I31" i="1"/>
  <c r="J31" i="1" s="1"/>
  <c r="K31" i="1" s="1"/>
  <c r="L30" i="1"/>
  <c r="I30" i="1"/>
  <c r="J30" i="1" s="1"/>
  <c r="K30" i="1" s="1"/>
  <c r="L29" i="1"/>
  <c r="I29" i="1"/>
  <c r="J29" i="1" s="1"/>
  <c r="K29" i="1" s="1"/>
  <c r="L28" i="1"/>
  <c r="I28" i="1"/>
  <c r="J28" i="1" s="1"/>
  <c r="K28" i="1" s="1"/>
  <c r="L27" i="1"/>
  <c r="I27" i="1"/>
  <c r="J27" i="1" s="1"/>
  <c r="K27" i="1" s="1"/>
  <c r="L26" i="1"/>
  <c r="I26" i="1"/>
  <c r="J26" i="1" s="1"/>
  <c r="K26" i="1" s="1"/>
  <c r="L25" i="1"/>
  <c r="J25" i="1"/>
  <c r="K25" i="1" s="1"/>
  <c r="I25" i="1"/>
  <c r="L24" i="1"/>
  <c r="I24" i="1"/>
  <c r="J24" i="1" s="1"/>
  <c r="K24" i="1" s="1"/>
  <c r="L23" i="1"/>
  <c r="I23" i="1"/>
  <c r="J23" i="1" s="1"/>
  <c r="K23" i="1" s="1"/>
  <c r="L22" i="1"/>
  <c r="I22" i="1"/>
  <c r="J22" i="1" s="1"/>
  <c r="K22" i="1" s="1"/>
  <c r="L21" i="1"/>
  <c r="I21" i="1"/>
  <c r="J21" i="1" s="1"/>
  <c r="K21" i="1" s="1"/>
  <c r="L20" i="1"/>
  <c r="I20" i="1"/>
  <c r="J20" i="1" s="1"/>
  <c r="K20" i="1" s="1"/>
  <c r="L19" i="1"/>
  <c r="J19" i="1"/>
  <c r="K19" i="1" s="1"/>
  <c r="I19" i="1"/>
  <c r="L18" i="1"/>
  <c r="I18" i="1"/>
  <c r="J18" i="1" s="1"/>
  <c r="K18" i="1" s="1"/>
  <c r="L17" i="1"/>
  <c r="I17" i="1"/>
  <c r="J17" i="1" s="1"/>
  <c r="K17" i="1" s="1"/>
  <c r="L16" i="1"/>
  <c r="I16" i="1"/>
  <c r="J16" i="1" s="1"/>
  <c r="K16" i="1" s="1"/>
  <c r="L15" i="1"/>
  <c r="I15" i="1"/>
  <c r="J15" i="1" s="1"/>
  <c r="K15" i="1" s="1"/>
  <c r="L14" i="1"/>
  <c r="I14" i="1"/>
  <c r="J14" i="1" s="1"/>
  <c r="K14" i="1" s="1"/>
  <c r="L13" i="1"/>
  <c r="I13" i="1"/>
  <c r="J13" i="1" s="1"/>
  <c r="K13" i="1" s="1"/>
  <c r="L12" i="1"/>
  <c r="I12" i="1"/>
  <c r="J12" i="1" s="1"/>
  <c r="K12" i="1" s="1"/>
  <c r="L11" i="1"/>
  <c r="I11" i="1"/>
  <c r="J11" i="1" s="1"/>
  <c r="K11" i="1" s="1"/>
  <c r="L10" i="1"/>
  <c r="I10" i="1"/>
  <c r="J10" i="1" s="1"/>
  <c r="K10" i="1" s="1"/>
  <c r="L9" i="1"/>
  <c r="I9" i="1"/>
  <c r="J9" i="1" s="1"/>
  <c r="K9" i="1" s="1"/>
  <c r="L8" i="1"/>
  <c r="I8" i="1"/>
  <c r="J8" i="1" s="1"/>
  <c r="K8" i="1" s="1"/>
  <c r="L7" i="1"/>
  <c r="I7" i="1"/>
  <c r="J7" i="1" s="1"/>
  <c r="K7" i="1" s="1"/>
  <c r="L6" i="1"/>
  <c r="I6" i="1"/>
  <c r="J6" i="1" s="1"/>
  <c r="K6" i="1" s="1"/>
  <c r="L5" i="1"/>
  <c r="I5" i="1"/>
  <c r="J5" i="1" s="1"/>
  <c r="K5" i="1" s="1"/>
  <c r="L4" i="1"/>
  <c r="I4" i="1"/>
  <c r="J4" i="1" s="1"/>
  <c r="K4" i="1" s="1"/>
  <c r="L3" i="1"/>
  <c r="I3" i="1"/>
  <c r="J3" i="1" s="1"/>
  <c r="K3" i="1" s="1"/>
  <c r="J2" i="1"/>
  <c r="K2" i="1" s="1"/>
  <c r="I2" i="1"/>
</calcChain>
</file>

<file path=xl/sharedStrings.xml><?xml version="1.0" encoding="utf-8"?>
<sst xmlns="http://schemas.openxmlformats.org/spreadsheetml/2006/main" count="548" uniqueCount="132">
  <si>
    <t>Name</t>
  </si>
  <si>
    <t>Age</t>
  </si>
  <si>
    <t>Gender</t>
  </si>
  <si>
    <t>Height (in ft)</t>
  </si>
  <si>
    <t>Weight(in kg)</t>
  </si>
  <si>
    <t>Physical Activity level</t>
  </si>
  <si>
    <t>How often do you exercise ?</t>
  </si>
  <si>
    <t>Diet type</t>
  </si>
  <si>
    <t>Height(in meters)</t>
  </si>
  <si>
    <t xml:space="preserve">BMI </t>
  </si>
  <si>
    <t>BMI Category</t>
  </si>
  <si>
    <t>Age Group</t>
  </si>
  <si>
    <t>A K Mittu</t>
  </si>
  <si>
    <t>Male</t>
  </si>
  <si>
    <t>Moderate</t>
  </si>
  <si>
    <t>Never</t>
  </si>
  <si>
    <t>Vegetarian</t>
  </si>
  <si>
    <t>A K Athaliah</t>
  </si>
  <si>
    <t>Female</t>
  </si>
  <si>
    <t>6</t>
  </si>
  <si>
    <t>High</t>
  </si>
  <si>
    <t>Daily</t>
  </si>
  <si>
    <t>Vegan</t>
  </si>
  <si>
    <t>A M Shanthi</t>
  </si>
  <si>
    <t>A M Sharath</t>
  </si>
  <si>
    <t>Abhiram.R</t>
  </si>
  <si>
    <t>Afreen Taj.</t>
  </si>
  <si>
    <t>Non-vegetarian</t>
  </si>
  <si>
    <t>Aishwarya v</t>
  </si>
  <si>
    <t>Anitha</t>
  </si>
  <si>
    <t>Ankita r Paswan</t>
  </si>
  <si>
    <t>Low</t>
  </si>
  <si>
    <t>Asfiya</t>
  </si>
  <si>
    <t>1/2 times/week</t>
  </si>
  <si>
    <t>Ashok</t>
  </si>
  <si>
    <t>B C Meena</t>
  </si>
  <si>
    <t>Bharath</t>
  </si>
  <si>
    <t>Bhavana venkatesh</t>
  </si>
  <si>
    <t>Bhavana.V</t>
  </si>
  <si>
    <t>Bhoomika E</t>
  </si>
  <si>
    <t>Bhoomika. M</t>
  </si>
  <si>
    <t>Bopaiah</t>
  </si>
  <si>
    <t>Brinda.N</t>
  </si>
  <si>
    <t>3/5 times/week</t>
  </si>
  <si>
    <t>Chaithra</t>
  </si>
  <si>
    <t>Chethan</t>
  </si>
  <si>
    <t>Chethan KC</t>
  </si>
  <si>
    <t>Deeksha</t>
  </si>
  <si>
    <t>Deekshitha s</t>
  </si>
  <si>
    <t>Dharani.k</t>
  </si>
  <si>
    <t>G.Thaanya</t>
  </si>
  <si>
    <t>Ganesh</t>
  </si>
  <si>
    <t>Gowtham</t>
  </si>
  <si>
    <t>Harshitha</t>
  </si>
  <si>
    <t>Harshitha Gowda</t>
  </si>
  <si>
    <t>Indira Pavana</t>
  </si>
  <si>
    <t>Keerthana R</t>
  </si>
  <si>
    <t>Kencha</t>
  </si>
  <si>
    <t>Kishan</t>
  </si>
  <si>
    <t>LEKHA</t>
  </si>
  <si>
    <t>Madhuri</t>
  </si>
  <si>
    <t>Mahitha.M</t>
  </si>
  <si>
    <t>Mamatha pk</t>
  </si>
  <si>
    <t>Manoj</t>
  </si>
  <si>
    <t>Manusha.M</t>
  </si>
  <si>
    <t>Meenakshi</t>
  </si>
  <si>
    <t>Meghana S S</t>
  </si>
  <si>
    <t>Monika</t>
  </si>
  <si>
    <t>Monisha.p</t>
  </si>
  <si>
    <t>N D Aadya</t>
  </si>
  <si>
    <t>N P Vasu</t>
  </si>
  <si>
    <t>Nanditha</t>
  </si>
  <si>
    <t>Napanda Doddaiah</t>
  </si>
  <si>
    <t>Nikitha A</t>
  </si>
  <si>
    <t>Nisha thapa</t>
  </si>
  <si>
    <t>Nishant</t>
  </si>
  <si>
    <t>Nithya shree M</t>
  </si>
  <si>
    <t>Nithya shree s</t>
  </si>
  <si>
    <t>NK Monica</t>
  </si>
  <si>
    <t>Poojitha B</t>
  </si>
  <si>
    <t>Prameela</t>
  </si>
  <si>
    <t>Pranitha</t>
  </si>
  <si>
    <t>Preksha Gangamma N.B</t>
  </si>
  <si>
    <t>Priyanka</t>
  </si>
  <si>
    <t>Rafiya</t>
  </si>
  <si>
    <t>Raja</t>
  </si>
  <si>
    <t>Rakesh</t>
  </si>
  <si>
    <t>Ramya</t>
  </si>
  <si>
    <t>Ranjitha</t>
  </si>
  <si>
    <t>Ravi</t>
  </si>
  <si>
    <t>Rohini</t>
  </si>
  <si>
    <t>Roshan</t>
  </si>
  <si>
    <t>Ruthvik</t>
  </si>
  <si>
    <t>Rutuja J.B</t>
  </si>
  <si>
    <t>Sachin</t>
  </si>
  <si>
    <t>Sai.Sukanya</t>
  </si>
  <si>
    <t>Sakshi</t>
  </si>
  <si>
    <t>Sandya R</t>
  </si>
  <si>
    <t>Sanusha</t>
  </si>
  <si>
    <t>Saru</t>
  </si>
  <si>
    <t>Sathya shree k</t>
  </si>
  <si>
    <t>Sathyashree</t>
  </si>
  <si>
    <t>Shalini</t>
  </si>
  <si>
    <t>Shambu Charmanna</t>
  </si>
  <si>
    <t>Shanth Kumar</t>
  </si>
  <si>
    <t>Sharanya.N</t>
  </si>
  <si>
    <t>Shashi</t>
  </si>
  <si>
    <t>Shivaraj</t>
  </si>
  <si>
    <t>Shreya</t>
  </si>
  <si>
    <t>Shrinidhi Poojary</t>
  </si>
  <si>
    <t>Shubhangi Gupta</t>
  </si>
  <si>
    <t>Shwetha Auradkar</t>
  </si>
  <si>
    <t>Snehalatha.p</t>
  </si>
  <si>
    <t>Soma</t>
  </si>
  <si>
    <t>Spoorthi A</t>
  </si>
  <si>
    <t>Srikanth</t>
  </si>
  <si>
    <t>Sumisha</t>
  </si>
  <si>
    <t>Swathi M L</t>
  </si>
  <si>
    <t>syeda</t>
  </si>
  <si>
    <t>Tejupooja</t>
  </si>
  <si>
    <t>Thejaswini p</t>
  </si>
  <si>
    <t>Trisha.M</t>
  </si>
  <si>
    <t>Uzma fathima</t>
  </si>
  <si>
    <t>Varshini</t>
  </si>
  <si>
    <t>Varun</t>
  </si>
  <si>
    <t>Varuna</t>
  </si>
  <si>
    <t>Varuni Joshi</t>
  </si>
  <si>
    <t>Vijay kumar</t>
  </si>
  <si>
    <t>Vimala</t>
  </si>
  <si>
    <t>Yamuna</t>
  </si>
  <si>
    <t>Yashas</t>
  </si>
  <si>
    <t>Yogesh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</si>
</sst>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F63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/>
    <xf numFmtId="2" fontId="1" fillId="2" borderId="1" xfId="0" applyNumberFormat="1" applyFont="1" applyFill="1" applyBorder="1" applyAlignment="1">
      <alignment horizontal="left"/>
    </xf>
    <xf numFmtId="49" fontId="2" fillId="0" borderId="1" xfId="0" applyNumberFormat="1" applyFont="1" applyBorder="1"/>
    <xf numFmtId="1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2" fontId="2" fillId="3" borderId="1" xfId="0" applyNumberFormat="1" applyFont="1" applyFill="1" applyBorder="1" applyAlignment="1">
      <alignment horizontal="left"/>
    </xf>
    <xf numFmtId="1" fontId="2" fillId="0" borderId="1" xfId="0" applyNumberFormat="1" applyFont="1" applyBorder="1" applyAlignment="1">
      <alignment horizontal="left" wrapText="1"/>
    </xf>
    <xf numFmtId="2" fontId="2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AE66-C7F3-4396-B8EE-73769424F6E5}">
  <dimension ref="A1:L108"/>
  <sheetViews>
    <sheetView tabSelected="1" workbookViewId="0">
      <selection activeCell="N5" sqref="N5"/>
    </sheetView>
  </sheetViews>
  <sheetFormatPr defaultRowHeight="14.4" x14ac:dyDescent="0.3"/>
  <cols>
    <col min="12" max="12" width="10.33203125" customWidth="1"/>
  </cols>
  <sheetData>
    <row r="1" spans="1:12" ht="15.6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3" t="s">
        <v>10</v>
      </c>
      <c r="L1" s="3" t="s">
        <v>11</v>
      </c>
    </row>
    <row r="2" spans="1:12" ht="15.6" x14ac:dyDescent="0.3">
      <c r="A2" s="5" t="s">
        <v>12</v>
      </c>
      <c r="B2" s="6">
        <v>78</v>
      </c>
      <c r="C2" s="5" t="s">
        <v>13</v>
      </c>
      <c r="D2" s="7">
        <v>5.9</v>
      </c>
      <c r="E2" s="6">
        <v>75</v>
      </c>
      <c r="F2" s="5" t="s">
        <v>14</v>
      </c>
      <c r="G2" s="5" t="s">
        <v>15</v>
      </c>
      <c r="H2" s="5" t="s">
        <v>16</v>
      </c>
      <c r="I2" s="5">
        <f t="shared" ref="I2:I65" si="0">D2*0.3048</f>
        <v>1.7983200000000001</v>
      </c>
      <c r="J2" s="8">
        <f>ROUND(E2/(I2^2), 1)</f>
        <v>23.2</v>
      </c>
      <c r="K2" s="9" t="str">
        <f>IF(J2="","",IF(J2&lt;18.5,"Underweight",IF(J2&lt;25,"Normal",IF(J2&lt;30,"Overweight","Obese"))))</f>
        <v>Normal</v>
      </c>
      <c r="L2" s="9" t="str">
        <f>IF(B2&lt;=20,"0–20",IF(B2&lt;=40,"21–40",IF(B2&lt;=60,"41–60","61+")))</f>
        <v>61+</v>
      </c>
    </row>
    <row r="3" spans="1:12" ht="15.6" x14ac:dyDescent="0.3">
      <c r="A3" s="5" t="s">
        <v>17</v>
      </c>
      <c r="B3" s="6">
        <v>57</v>
      </c>
      <c r="C3" s="5" t="s">
        <v>18</v>
      </c>
      <c r="D3" s="6" t="s">
        <v>19</v>
      </c>
      <c r="E3" s="6">
        <v>78</v>
      </c>
      <c r="F3" s="5" t="s">
        <v>20</v>
      </c>
      <c r="G3" s="5" t="s">
        <v>21</v>
      </c>
      <c r="H3" s="5" t="s">
        <v>22</v>
      </c>
      <c r="I3" s="5">
        <f t="shared" si="0"/>
        <v>1.8288000000000002</v>
      </c>
      <c r="J3" s="8">
        <f t="shared" ref="J3:J66" si="1">ROUND(E3/(I3^2), 1)</f>
        <v>23.3</v>
      </c>
      <c r="K3" s="9" t="str">
        <f t="shared" ref="K3:K66" si="2">IF(J3="","",IF(J3&lt;18.5,"Underweight",IF(J3&lt;25,"Normal",IF(J3&lt;30,"Overweight","Obese"))))</f>
        <v>Normal</v>
      </c>
      <c r="L3" s="9" t="str">
        <f t="shared" ref="L3:L66" si="3">IF(B3&lt;=20,"0–20",IF(B3&lt;=40,"21–40",IF(B3&lt;=60,"41–60","61+")))</f>
        <v>41–60</v>
      </c>
    </row>
    <row r="4" spans="1:12" ht="15.6" x14ac:dyDescent="0.3">
      <c r="A4" s="5" t="s">
        <v>23</v>
      </c>
      <c r="B4" s="6">
        <v>69</v>
      </c>
      <c r="C4" s="5" t="s">
        <v>18</v>
      </c>
      <c r="D4" s="7">
        <v>5.5</v>
      </c>
      <c r="E4" s="6">
        <v>80</v>
      </c>
      <c r="F4" s="5" t="s">
        <v>14</v>
      </c>
      <c r="G4" s="5" t="s">
        <v>15</v>
      </c>
      <c r="H4" s="5" t="s">
        <v>16</v>
      </c>
      <c r="I4" s="5">
        <f t="shared" si="0"/>
        <v>1.6764000000000001</v>
      </c>
      <c r="J4" s="10">
        <f t="shared" si="1"/>
        <v>28.5</v>
      </c>
      <c r="K4" s="9" t="str">
        <f t="shared" si="2"/>
        <v>Overweight</v>
      </c>
      <c r="L4" s="9" t="str">
        <f t="shared" si="3"/>
        <v>61+</v>
      </c>
    </row>
    <row r="5" spans="1:12" ht="15.6" x14ac:dyDescent="0.3">
      <c r="A5" s="5" t="s">
        <v>24</v>
      </c>
      <c r="B5" s="6">
        <v>46</v>
      </c>
      <c r="C5" s="5" t="s">
        <v>13</v>
      </c>
      <c r="D5" s="7">
        <v>6</v>
      </c>
      <c r="E5" s="6">
        <v>80</v>
      </c>
      <c r="F5" s="5" t="s">
        <v>14</v>
      </c>
      <c r="G5" s="5" t="s">
        <v>15</v>
      </c>
      <c r="H5" s="5" t="s">
        <v>22</v>
      </c>
      <c r="I5" s="5">
        <f t="shared" si="0"/>
        <v>1.8288000000000002</v>
      </c>
      <c r="J5" s="8">
        <f t="shared" si="1"/>
        <v>23.9</v>
      </c>
      <c r="K5" s="9" t="str">
        <f t="shared" si="2"/>
        <v>Normal</v>
      </c>
      <c r="L5" s="9" t="str">
        <f t="shared" si="3"/>
        <v>41–60</v>
      </c>
    </row>
    <row r="6" spans="1:12" ht="15.6" x14ac:dyDescent="0.3">
      <c r="A6" s="5" t="s">
        <v>25</v>
      </c>
      <c r="B6" s="6">
        <v>21</v>
      </c>
      <c r="C6" s="5" t="s">
        <v>13</v>
      </c>
      <c r="D6" s="7">
        <v>5.6</v>
      </c>
      <c r="E6" s="6">
        <v>70</v>
      </c>
      <c r="F6" s="5" t="s">
        <v>14</v>
      </c>
      <c r="G6" s="5" t="s">
        <v>15</v>
      </c>
      <c r="H6" s="5" t="s">
        <v>22</v>
      </c>
      <c r="I6" s="5">
        <f t="shared" si="0"/>
        <v>1.70688</v>
      </c>
      <c r="J6" s="8">
        <f t="shared" si="1"/>
        <v>24</v>
      </c>
      <c r="K6" s="9" t="str">
        <f t="shared" si="2"/>
        <v>Normal</v>
      </c>
      <c r="L6" s="9" t="str">
        <f t="shared" si="3"/>
        <v>21–40</v>
      </c>
    </row>
    <row r="7" spans="1:12" ht="15.6" x14ac:dyDescent="0.3">
      <c r="A7" s="5" t="s">
        <v>26</v>
      </c>
      <c r="B7" s="6">
        <v>20</v>
      </c>
      <c r="C7" s="5" t="s">
        <v>18</v>
      </c>
      <c r="D7" s="6">
        <v>5.2</v>
      </c>
      <c r="E7" s="6">
        <v>67</v>
      </c>
      <c r="F7" s="5" t="s">
        <v>14</v>
      </c>
      <c r="G7" s="5" t="s">
        <v>15</v>
      </c>
      <c r="H7" s="5" t="s">
        <v>27</v>
      </c>
      <c r="I7" s="5">
        <f t="shared" si="0"/>
        <v>1.5849600000000001</v>
      </c>
      <c r="J7" s="10">
        <f t="shared" si="1"/>
        <v>26.7</v>
      </c>
      <c r="K7" s="9" t="str">
        <f t="shared" si="2"/>
        <v>Overweight</v>
      </c>
      <c r="L7" s="9" t="str">
        <f t="shared" si="3"/>
        <v>0–20</v>
      </c>
    </row>
    <row r="8" spans="1:12" ht="15.6" x14ac:dyDescent="0.3">
      <c r="A8" s="5" t="s">
        <v>28</v>
      </c>
      <c r="B8" s="6">
        <v>18</v>
      </c>
      <c r="C8" s="5" t="s">
        <v>18</v>
      </c>
      <c r="D8" s="6">
        <v>6</v>
      </c>
      <c r="E8" s="6">
        <v>37</v>
      </c>
      <c r="F8" s="5" t="s">
        <v>14</v>
      </c>
      <c r="G8" s="5" t="s">
        <v>15</v>
      </c>
      <c r="H8" s="5" t="s">
        <v>27</v>
      </c>
      <c r="I8" s="5">
        <f t="shared" si="0"/>
        <v>1.8288000000000002</v>
      </c>
      <c r="J8" s="8">
        <f t="shared" si="1"/>
        <v>11.1</v>
      </c>
      <c r="K8" s="9" t="str">
        <f t="shared" si="2"/>
        <v>Underweight</v>
      </c>
      <c r="L8" s="9" t="str">
        <f t="shared" si="3"/>
        <v>0–20</v>
      </c>
    </row>
    <row r="9" spans="1:12" ht="15.6" x14ac:dyDescent="0.3">
      <c r="A9" s="5" t="s">
        <v>29</v>
      </c>
      <c r="B9" s="6">
        <v>19</v>
      </c>
      <c r="C9" s="5" t="s">
        <v>18</v>
      </c>
      <c r="D9" s="6">
        <v>5.4</v>
      </c>
      <c r="E9" s="6">
        <v>50</v>
      </c>
      <c r="F9" s="5" t="s">
        <v>14</v>
      </c>
      <c r="G9" s="5" t="s">
        <v>15</v>
      </c>
      <c r="H9" s="5" t="s">
        <v>27</v>
      </c>
      <c r="I9" s="5">
        <f t="shared" si="0"/>
        <v>1.6459200000000003</v>
      </c>
      <c r="J9" s="8">
        <f t="shared" si="1"/>
        <v>18.5</v>
      </c>
      <c r="K9" s="9" t="str">
        <f t="shared" si="2"/>
        <v>Normal</v>
      </c>
      <c r="L9" s="9" t="str">
        <f t="shared" si="3"/>
        <v>0–20</v>
      </c>
    </row>
    <row r="10" spans="1:12" ht="15.6" x14ac:dyDescent="0.3">
      <c r="A10" s="5" t="s">
        <v>30</v>
      </c>
      <c r="B10" s="6">
        <v>18</v>
      </c>
      <c r="C10" s="5" t="s">
        <v>18</v>
      </c>
      <c r="D10" s="7">
        <v>5.2</v>
      </c>
      <c r="E10" s="11">
        <v>50</v>
      </c>
      <c r="F10" s="5" t="s">
        <v>31</v>
      </c>
      <c r="G10" s="5" t="s">
        <v>15</v>
      </c>
      <c r="H10" s="5" t="s">
        <v>16</v>
      </c>
      <c r="I10" s="5">
        <f t="shared" si="0"/>
        <v>1.5849600000000001</v>
      </c>
      <c r="J10" s="8">
        <f t="shared" si="1"/>
        <v>19.899999999999999</v>
      </c>
      <c r="K10" s="9" t="str">
        <f t="shared" si="2"/>
        <v>Normal</v>
      </c>
      <c r="L10" s="9" t="str">
        <f t="shared" si="3"/>
        <v>0–20</v>
      </c>
    </row>
    <row r="11" spans="1:12" ht="15.6" x14ac:dyDescent="0.3">
      <c r="A11" s="5" t="s">
        <v>32</v>
      </c>
      <c r="B11" s="6">
        <v>19</v>
      </c>
      <c r="C11" s="5" t="s">
        <v>18</v>
      </c>
      <c r="D11" s="6">
        <v>5.2</v>
      </c>
      <c r="E11" s="6">
        <v>60</v>
      </c>
      <c r="F11" s="5" t="s">
        <v>14</v>
      </c>
      <c r="G11" s="5" t="s">
        <v>33</v>
      </c>
      <c r="H11" s="5" t="s">
        <v>27</v>
      </c>
      <c r="I11" s="5">
        <f t="shared" si="0"/>
        <v>1.5849600000000001</v>
      </c>
      <c r="J11" s="8">
        <f t="shared" si="1"/>
        <v>23.9</v>
      </c>
      <c r="K11" s="9" t="str">
        <f t="shared" si="2"/>
        <v>Normal</v>
      </c>
      <c r="L11" s="9" t="str">
        <f t="shared" si="3"/>
        <v>0–20</v>
      </c>
    </row>
    <row r="12" spans="1:12" ht="15.6" x14ac:dyDescent="0.3">
      <c r="A12" s="5" t="s">
        <v>34</v>
      </c>
      <c r="B12" s="6">
        <v>23</v>
      </c>
      <c r="C12" s="5" t="s">
        <v>13</v>
      </c>
      <c r="D12" s="7">
        <v>5.5</v>
      </c>
      <c r="E12" s="6">
        <v>60</v>
      </c>
      <c r="F12" s="5" t="s">
        <v>14</v>
      </c>
      <c r="G12" s="5" t="s">
        <v>21</v>
      </c>
      <c r="H12" s="5" t="s">
        <v>27</v>
      </c>
      <c r="I12" s="5">
        <f t="shared" si="0"/>
        <v>1.6764000000000001</v>
      </c>
      <c r="J12" s="8">
        <f t="shared" si="1"/>
        <v>21.3</v>
      </c>
      <c r="K12" s="9" t="str">
        <f t="shared" si="2"/>
        <v>Normal</v>
      </c>
      <c r="L12" s="9" t="str">
        <f t="shared" si="3"/>
        <v>21–40</v>
      </c>
    </row>
    <row r="13" spans="1:12" ht="15.6" x14ac:dyDescent="0.3">
      <c r="A13" s="5" t="s">
        <v>35</v>
      </c>
      <c r="B13" s="6">
        <v>60</v>
      </c>
      <c r="C13" s="5" t="s">
        <v>18</v>
      </c>
      <c r="D13" s="7">
        <v>5</v>
      </c>
      <c r="E13" s="6">
        <v>65</v>
      </c>
      <c r="F13" s="5" t="s">
        <v>14</v>
      </c>
      <c r="G13" s="5" t="s">
        <v>15</v>
      </c>
      <c r="H13" s="5" t="s">
        <v>16</v>
      </c>
      <c r="I13" s="5">
        <f t="shared" si="0"/>
        <v>1.524</v>
      </c>
      <c r="J13" s="10">
        <f t="shared" si="1"/>
        <v>28</v>
      </c>
      <c r="K13" s="9" t="str">
        <f t="shared" si="2"/>
        <v>Overweight</v>
      </c>
      <c r="L13" s="9" t="str">
        <f t="shared" si="3"/>
        <v>41–60</v>
      </c>
    </row>
    <row r="14" spans="1:12" ht="15.6" x14ac:dyDescent="0.3">
      <c r="A14" s="5" t="s">
        <v>36</v>
      </c>
      <c r="B14" s="6">
        <v>24</v>
      </c>
      <c r="C14" s="5" t="s">
        <v>13</v>
      </c>
      <c r="D14" s="7">
        <v>6</v>
      </c>
      <c r="E14" s="6">
        <v>74</v>
      </c>
      <c r="F14" s="5" t="s">
        <v>20</v>
      </c>
      <c r="G14" s="5" t="s">
        <v>15</v>
      </c>
      <c r="H14" s="5" t="s">
        <v>16</v>
      </c>
      <c r="I14" s="5">
        <f t="shared" si="0"/>
        <v>1.8288000000000002</v>
      </c>
      <c r="J14" s="8">
        <f t="shared" si="1"/>
        <v>22.1</v>
      </c>
      <c r="K14" s="9" t="str">
        <f t="shared" si="2"/>
        <v>Normal</v>
      </c>
      <c r="L14" s="9" t="str">
        <f t="shared" si="3"/>
        <v>21–40</v>
      </c>
    </row>
    <row r="15" spans="1:12" ht="15.6" x14ac:dyDescent="0.3">
      <c r="A15" s="5" t="s">
        <v>37</v>
      </c>
      <c r="B15" s="6">
        <v>18</v>
      </c>
      <c r="C15" s="5" t="s">
        <v>18</v>
      </c>
      <c r="D15" s="6">
        <v>5</v>
      </c>
      <c r="E15" s="6">
        <v>56</v>
      </c>
      <c r="F15" s="5" t="s">
        <v>14</v>
      </c>
      <c r="G15" s="5" t="s">
        <v>33</v>
      </c>
      <c r="H15" s="5" t="s">
        <v>27</v>
      </c>
      <c r="I15" s="5">
        <f t="shared" si="0"/>
        <v>1.524</v>
      </c>
      <c r="J15" s="8">
        <f t="shared" si="1"/>
        <v>24.1</v>
      </c>
      <c r="K15" s="9" t="str">
        <f t="shared" si="2"/>
        <v>Normal</v>
      </c>
      <c r="L15" s="9" t="str">
        <f t="shared" si="3"/>
        <v>0–20</v>
      </c>
    </row>
    <row r="16" spans="1:12" ht="15.6" x14ac:dyDescent="0.3">
      <c r="A16" s="5" t="s">
        <v>38</v>
      </c>
      <c r="B16" s="6">
        <v>19</v>
      </c>
      <c r="C16" s="5" t="s">
        <v>18</v>
      </c>
      <c r="D16" s="7">
        <v>5.5</v>
      </c>
      <c r="E16" s="6">
        <v>55</v>
      </c>
      <c r="F16" s="5" t="s">
        <v>14</v>
      </c>
      <c r="G16" s="5" t="s">
        <v>33</v>
      </c>
      <c r="H16" s="5" t="s">
        <v>27</v>
      </c>
      <c r="I16" s="5">
        <f t="shared" si="0"/>
        <v>1.6764000000000001</v>
      </c>
      <c r="J16" s="8">
        <f t="shared" si="1"/>
        <v>19.600000000000001</v>
      </c>
      <c r="K16" s="9" t="str">
        <f t="shared" si="2"/>
        <v>Normal</v>
      </c>
      <c r="L16" s="9" t="str">
        <f t="shared" si="3"/>
        <v>0–20</v>
      </c>
    </row>
    <row r="17" spans="1:12" ht="15.6" x14ac:dyDescent="0.3">
      <c r="A17" s="5" t="s">
        <v>39</v>
      </c>
      <c r="B17" s="6">
        <v>19</v>
      </c>
      <c r="C17" s="5" t="s">
        <v>18</v>
      </c>
      <c r="D17" s="6">
        <v>5</v>
      </c>
      <c r="E17" s="6">
        <v>53</v>
      </c>
      <c r="F17" s="5" t="s">
        <v>14</v>
      </c>
      <c r="G17" s="5" t="s">
        <v>33</v>
      </c>
      <c r="H17" s="5" t="s">
        <v>22</v>
      </c>
      <c r="I17" s="5">
        <f t="shared" si="0"/>
        <v>1.524</v>
      </c>
      <c r="J17" s="8">
        <f t="shared" si="1"/>
        <v>22.8</v>
      </c>
      <c r="K17" s="9" t="str">
        <f t="shared" si="2"/>
        <v>Normal</v>
      </c>
      <c r="L17" s="9" t="str">
        <f t="shared" si="3"/>
        <v>0–20</v>
      </c>
    </row>
    <row r="18" spans="1:12" ht="15.6" x14ac:dyDescent="0.3">
      <c r="A18" s="5" t="s">
        <v>40</v>
      </c>
      <c r="B18" s="6">
        <v>21</v>
      </c>
      <c r="C18" s="5" t="s">
        <v>18</v>
      </c>
      <c r="D18" s="7">
        <v>5.3</v>
      </c>
      <c r="E18" s="6">
        <v>53</v>
      </c>
      <c r="F18" s="5" t="s">
        <v>31</v>
      </c>
      <c r="G18" s="5" t="s">
        <v>15</v>
      </c>
      <c r="H18" s="5" t="s">
        <v>27</v>
      </c>
      <c r="I18" s="5">
        <f t="shared" si="0"/>
        <v>1.61544</v>
      </c>
      <c r="J18" s="8">
        <f t="shared" si="1"/>
        <v>20.3</v>
      </c>
      <c r="K18" s="9" t="str">
        <f t="shared" si="2"/>
        <v>Normal</v>
      </c>
      <c r="L18" s="9" t="str">
        <f t="shared" si="3"/>
        <v>21–40</v>
      </c>
    </row>
    <row r="19" spans="1:12" ht="15.6" x14ac:dyDescent="0.3">
      <c r="A19" s="5" t="s">
        <v>41</v>
      </c>
      <c r="B19" s="6">
        <v>40</v>
      </c>
      <c r="C19" s="5" t="s">
        <v>13</v>
      </c>
      <c r="D19" s="6">
        <v>6</v>
      </c>
      <c r="E19" s="6">
        <v>60</v>
      </c>
      <c r="F19" s="5" t="s">
        <v>14</v>
      </c>
      <c r="G19" s="5" t="s">
        <v>33</v>
      </c>
      <c r="H19" s="5" t="s">
        <v>27</v>
      </c>
      <c r="I19" s="5">
        <f t="shared" si="0"/>
        <v>1.8288000000000002</v>
      </c>
      <c r="J19" s="8">
        <f t="shared" si="1"/>
        <v>17.899999999999999</v>
      </c>
      <c r="K19" s="9" t="str">
        <f t="shared" si="2"/>
        <v>Underweight</v>
      </c>
      <c r="L19" s="9" t="str">
        <f t="shared" si="3"/>
        <v>21–40</v>
      </c>
    </row>
    <row r="20" spans="1:12" ht="15.6" x14ac:dyDescent="0.3">
      <c r="A20" s="5" t="s">
        <v>42</v>
      </c>
      <c r="B20" s="6">
        <v>20</v>
      </c>
      <c r="C20" s="5" t="s">
        <v>18</v>
      </c>
      <c r="D20" s="7">
        <v>5.4</v>
      </c>
      <c r="E20" s="6">
        <v>44</v>
      </c>
      <c r="F20" s="5" t="s">
        <v>14</v>
      </c>
      <c r="G20" s="5" t="s">
        <v>43</v>
      </c>
      <c r="H20" s="5" t="s">
        <v>27</v>
      </c>
      <c r="I20" s="5">
        <f t="shared" si="0"/>
        <v>1.6459200000000003</v>
      </c>
      <c r="J20" s="8">
        <f t="shared" si="1"/>
        <v>16.2</v>
      </c>
      <c r="K20" s="9" t="str">
        <f t="shared" si="2"/>
        <v>Underweight</v>
      </c>
      <c r="L20" s="9" t="str">
        <f t="shared" si="3"/>
        <v>0–20</v>
      </c>
    </row>
    <row r="21" spans="1:12" ht="15.6" x14ac:dyDescent="0.3">
      <c r="A21" s="5" t="s">
        <v>44</v>
      </c>
      <c r="B21" s="6">
        <v>21</v>
      </c>
      <c r="C21" s="5" t="s">
        <v>18</v>
      </c>
      <c r="D21" s="7">
        <v>5</v>
      </c>
      <c r="E21" s="6">
        <v>52</v>
      </c>
      <c r="F21" s="5" t="s">
        <v>14</v>
      </c>
      <c r="G21" s="5" t="s">
        <v>33</v>
      </c>
      <c r="H21" s="5" t="s">
        <v>27</v>
      </c>
      <c r="I21" s="5">
        <f t="shared" si="0"/>
        <v>1.524</v>
      </c>
      <c r="J21" s="8">
        <f t="shared" si="1"/>
        <v>22.4</v>
      </c>
      <c r="K21" s="9" t="str">
        <f t="shared" si="2"/>
        <v>Normal</v>
      </c>
      <c r="L21" s="9" t="str">
        <f t="shared" si="3"/>
        <v>21–40</v>
      </c>
    </row>
    <row r="22" spans="1:12" ht="15.6" x14ac:dyDescent="0.3">
      <c r="A22" s="5" t="s">
        <v>45</v>
      </c>
      <c r="B22" s="6">
        <v>25</v>
      </c>
      <c r="C22" s="5" t="s">
        <v>13</v>
      </c>
      <c r="D22" s="6">
        <v>5.6</v>
      </c>
      <c r="E22" s="6">
        <v>73</v>
      </c>
      <c r="F22" s="5" t="s">
        <v>14</v>
      </c>
      <c r="G22" s="5" t="s">
        <v>33</v>
      </c>
      <c r="H22" s="5" t="s">
        <v>27</v>
      </c>
      <c r="I22" s="5">
        <f t="shared" si="0"/>
        <v>1.70688</v>
      </c>
      <c r="J22" s="10">
        <f t="shared" si="1"/>
        <v>25.1</v>
      </c>
      <c r="K22" s="9" t="str">
        <f t="shared" si="2"/>
        <v>Overweight</v>
      </c>
      <c r="L22" s="9" t="str">
        <f t="shared" si="3"/>
        <v>21–40</v>
      </c>
    </row>
    <row r="23" spans="1:12" ht="15.6" x14ac:dyDescent="0.3">
      <c r="A23" s="5" t="s">
        <v>46</v>
      </c>
      <c r="B23" s="6">
        <v>26</v>
      </c>
      <c r="C23" s="5" t="s">
        <v>13</v>
      </c>
      <c r="D23" s="7">
        <v>5.6</v>
      </c>
      <c r="E23" s="6">
        <v>73</v>
      </c>
      <c r="F23" s="5" t="s">
        <v>14</v>
      </c>
      <c r="G23" s="5" t="s">
        <v>15</v>
      </c>
      <c r="H23" s="5" t="s">
        <v>27</v>
      </c>
      <c r="I23" s="5">
        <f t="shared" si="0"/>
        <v>1.70688</v>
      </c>
      <c r="J23" s="10">
        <f t="shared" si="1"/>
        <v>25.1</v>
      </c>
      <c r="K23" s="9" t="str">
        <f t="shared" si="2"/>
        <v>Overweight</v>
      </c>
      <c r="L23" s="9" t="str">
        <f t="shared" si="3"/>
        <v>21–40</v>
      </c>
    </row>
    <row r="24" spans="1:12" ht="15.6" x14ac:dyDescent="0.3">
      <c r="A24" s="5" t="s">
        <v>47</v>
      </c>
      <c r="B24" s="6">
        <v>15</v>
      </c>
      <c r="C24" s="5" t="s">
        <v>18</v>
      </c>
      <c r="D24" s="7">
        <v>4</v>
      </c>
      <c r="E24" s="6">
        <v>42</v>
      </c>
      <c r="F24" s="5" t="s">
        <v>31</v>
      </c>
      <c r="G24" s="5" t="s">
        <v>15</v>
      </c>
      <c r="H24" s="5" t="s">
        <v>27</v>
      </c>
      <c r="I24" s="5">
        <f t="shared" si="0"/>
        <v>1.2192000000000001</v>
      </c>
      <c r="J24" s="10">
        <f t="shared" si="1"/>
        <v>28.3</v>
      </c>
      <c r="K24" s="9" t="str">
        <f t="shared" si="2"/>
        <v>Overweight</v>
      </c>
      <c r="L24" s="9" t="str">
        <f t="shared" si="3"/>
        <v>0–20</v>
      </c>
    </row>
    <row r="25" spans="1:12" ht="15.6" x14ac:dyDescent="0.3">
      <c r="A25" s="5" t="s">
        <v>48</v>
      </c>
      <c r="B25" s="6">
        <v>20</v>
      </c>
      <c r="C25" s="5" t="s">
        <v>18</v>
      </c>
      <c r="D25" s="7">
        <v>5</v>
      </c>
      <c r="E25" s="6">
        <v>42</v>
      </c>
      <c r="F25" s="5" t="s">
        <v>14</v>
      </c>
      <c r="G25" s="5" t="s">
        <v>33</v>
      </c>
      <c r="H25" s="5" t="s">
        <v>27</v>
      </c>
      <c r="I25" s="5">
        <f t="shared" si="0"/>
        <v>1.524</v>
      </c>
      <c r="J25" s="8">
        <f t="shared" si="1"/>
        <v>18.100000000000001</v>
      </c>
      <c r="K25" s="9" t="str">
        <f t="shared" si="2"/>
        <v>Underweight</v>
      </c>
      <c r="L25" s="9" t="str">
        <f t="shared" si="3"/>
        <v>0–20</v>
      </c>
    </row>
    <row r="26" spans="1:12" ht="15.6" x14ac:dyDescent="0.3">
      <c r="A26" s="5" t="s">
        <v>49</v>
      </c>
      <c r="B26" s="6">
        <v>19</v>
      </c>
      <c r="C26" s="5" t="s">
        <v>18</v>
      </c>
      <c r="D26" s="7">
        <v>4.7</v>
      </c>
      <c r="E26" s="6">
        <v>45</v>
      </c>
      <c r="F26" s="5" t="s">
        <v>14</v>
      </c>
      <c r="G26" s="5" t="s">
        <v>15</v>
      </c>
      <c r="H26" s="5" t="s">
        <v>27</v>
      </c>
      <c r="I26" s="5">
        <f t="shared" si="0"/>
        <v>1.4325600000000001</v>
      </c>
      <c r="J26" s="8">
        <f t="shared" si="1"/>
        <v>21.9</v>
      </c>
      <c r="K26" s="9" t="str">
        <f t="shared" si="2"/>
        <v>Normal</v>
      </c>
      <c r="L26" s="9" t="str">
        <f t="shared" si="3"/>
        <v>0–20</v>
      </c>
    </row>
    <row r="27" spans="1:12" ht="15.6" x14ac:dyDescent="0.3">
      <c r="A27" s="5" t="s">
        <v>50</v>
      </c>
      <c r="B27" s="6">
        <v>20</v>
      </c>
      <c r="C27" s="5" t="s">
        <v>18</v>
      </c>
      <c r="D27" s="6">
        <v>5.8</v>
      </c>
      <c r="E27" s="6">
        <v>59</v>
      </c>
      <c r="F27" s="5" t="s">
        <v>20</v>
      </c>
      <c r="G27" s="5" t="s">
        <v>43</v>
      </c>
      <c r="H27" s="5" t="s">
        <v>27</v>
      </c>
      <c r="I27" s="5">
        <f t="shared" si="0"/>
        <v>1.7678400000000001</v>
      </c>
      <c r="J27" s="8">
        <f t="shared" si="1"/>
        <v>18.899999999999999</v>
      </c>
      <c r="K27" s="9" t="str">
        <f t="shared" si="2"/>
        <v>Normal</v>
      </c>
      <c r="L27" s="9" t="str">
        <f t="shared" si="3"/>
        <v>0–20</v>
      </c>
    </row>
    <row r="28" spans="1:12" ht="15.6" x14ac:dyDescent="0.3">
      <c r="A28" s="5" t="s">
        <v>51</v>
      </c>
      <c r="B28" s="6">
        <v>30</v>
      </c>
      <c r="C28" s="5" t="s">
        <v>18</v>
      </c>
      <c r="D28" s="7">
        <v>6</v>
      </c>
      <c r="E28" s="6">
        <v>46</v>
      </c>
      <c r="F28" s="5" t="s">
        <v>14</v>
      </c>
      <c r="G28" s="5" t="s">
        <v>21</v>
      </c>
      <c r="H28" s="5" t="s">
        <v>22</v>
      </c>
      <c r="I28" s="5">
        <f t="shared" si="0"/>
        <v>1.8288000000000002</v>
      </c>
      <c r="J28" s="8">
        <f t="shared" si="1"/>
        <v>13.8</v>
      </c>
      <c r="K28" s="9" t="str">
        <f t="shared" si="2"/>
        <v>Underweight</v>
      </c>
      <c r="L28" s="9" t="str">
        <f t="shared" si="3"/>
        <v>21–40</v>
      </c>
    </row>
    <row r="29" spans="1:12" ht="15.6" x14ac:dyDescent="0.3">
      <c r="A29" s="5" t="s">
        <v>52</v>
      </c>
      <c r="B29" s="6">
        <v>28</v>
      </c>
      <c r="C29" s="5" t="s">
        <v>18</v>
      </c>
      <c r="D29" s="7">
        <v>6</v>
      </c>
      <c r="E29" s="6">
        <v>45</v>
      </c>
      <c r="F29" s="5" t="s">
        <v>14</v>
      </c>
      <c r="G29" s="5" t="s">
        <v>15</v>
      </c>
      <c r="H29" s="5" t="s">
        <v>27</v>
      </c>
      <c r="I29" s="5">
        <f t="shared" si="0"/>
        <v>1.8288000000000002</v>
      </c>
      <c r="J29" s="8">
        <f t="shared" si="1"/>
        <v>13.5</v>
      </c>
      <c r="K29" s="9" t="str">
        <f t="shared" si="2"/>
        <v>Underweight</v>
      </c>
      <c r="L29" s="9" t="str">
        <f t="shared" si="3"/>
        <v>21–40</v>
      </c>
    </row>
    <row r="30" spans="1:12" ht="15.6" x14ac:dyDescent="0.3">
      <c r="A30" s="5" t="s">
        <v>53</v>
      </c>
      <c r="B30" s="6">
        <v>21</v>
      </c>
      <c r="C30" s="5" t="s">
        <v>18</v>
      </c>
      <c r="D30" s="7">
        <v>5.4</v>
      </c>
      <c r="E30" s="6">
        <v>50</v>
      </c>
      <c r="F30" s="5" t="s">
        <v>14</v>
      </c>
      <c r="G30" s="5" t="s">
        <v>33</v>
      </c>
      <c r="H30" s="5" t="s">
        <v>27</v>
      </c>
      <c r="I30" s="5">
        <f t="shared" si="0"/>
        <v>1.6459200000000003</v>
      </c>
      <c r="J30" s="8">
        <f t="shared" si="1"/>
        <v>18.5</v>
      </c>
      <c r="K30" s="9" t="str">
        <f t="shared" si="2"/>
        <v>Normal</v>
      </c>
      <c r="L30" s="9" t="str">
        <f t="shared" si="3"/>
        <v>21–40</v>
      </c>
    </row>
    <row r="31" spans="1:12" ht="15.6" x14ac:dyDescent="0.3">
      <c r="A31" s="5" t="s">
        <v>54</v>
      </c>
      <c r="B31" s="6">
        <v>20</v>
      </c>
      <c r="C31" s="5" t="s">
        <v>18</v>
      </c>
      <c r="D31" s="7">
        <v>5.2</v>
      </c>
      <c r="E31" s="6">
        <v>42</v>
      </c>
      <c r="F31" s="5" t="s">
        <v>14</v>
      </c>
      <c r="G31" s="5" t="s">
        <v>33</v>
      </c>
      <c r="H31" s="5" t="s">
        <v>27</v>
      </c>
      <c r="I31" s="5">
        <f t="shared" si="0"/>
        <v>1.5849600000000001</v>
      </c>
      <c r="J31" s="8">
        <f t="shared" si="1"/>
        <v>16.7</v>
      </c>
      <c r="K31" s="9" t="str">
        <f t="shared" si="2"/>
        <v>Underweight</v>
      </c>
      <c r="L31" s="9" t="str">
        <f t="shared" si="3"/>
        <v>0–20</v>
      </c>
    </row>
    <row r="32" spans="1:12" ht="15.6" x14ac:dyDescent="0.3">
      <c r="A32" s="5" t="s">
        <v>55</v>
      </c>
      <c r="B32" s="6">
        <v>45</v>
      </c>
      <c r="C32" s="5" t="s">
        <v>18</v>
      </c>
      <c r="D32" s="7">
        <v>6</v>
      </c>
      <c r="E32" s="6">
        <v>75</v>
      </c>
      <c r="F32" s="5" t="s">
        <v>14</v>
      </c>
      <c r="G32" s="5" t="s">
        <v>15</v>
      </c>
      <c r="H32" s="5" t="s">
        <v>22</v>
      </c>
      <c r="I32" s="5">
        <f t="shared" si="0"/>
        <v>1.8288000000000002</v>
      </c>
      <c r="J32" s="8">
        <f t="shared" si="1"/>
        <v>22.4</v>
      </c>
      <c r="K32" s="9" t="str">
        <f t="shared" si="2"/>
        <v>Normal</v>
      </c>
      <c r="L32" s="9" t="str">
        <f t="shared" si="3"/>
        <v>41–60</v>
      </c>
    </row>
    <row r="33" spans="1:12" ht="15.6" x14ac:dyDescent="0.3">
      <c r="A33" s="5" t="s">
        <v>56</v>
      </c>
      <c r="B33" s="6">
        <v>21</v>
      </c>
      <c r="C33" s="5" t="s">
        <v>18</v>
      </c>
      <c r="D33" s="6">
        <v>5.4</v>
      </c>
      <c r="E33" s="6">
        <v>60</v>
      </c>
      <c r="F33" s="5" t="s">
        <v>20</v>
      </c>
      <c r="G33" s="5" t="s">
        <v>43</v>
      </c>
      <c r="H33" s="5" t="s">
        <v>16</v>
      </c>
      <c r="I33" s="5">
        <f t="shared" si="0"/>
        <v>1.6459200000000003</v>
      </c>
      <c r="J33" s="8">
        <f t="shared" si="1"/>
        <v>22.1</v>
      </c>
      <c r="K33" s="9" t="str">
        <f t="shared" si="2"/>
        <v>Normal</v>
      </c>
      <c r="L33" s="9" t="str">
        <f t="shared" si="3"/>
        <v>21–40</v>
      </c>
    </row>
    <row r="34" spans="1:12" ht="15.6" x14ac:dyDescent="0.3">
      <c r="A34" s="5" t="s">
        <v>57</v>
      </c>
      <c r="B34" s="6">
        <v>20</v>
      </c>
      <c r="C34" s="5" t="s">
        <v>13</v>
      </c>
      <c r="D34" s="6">
        <v>5.6</v>
      </c>
      <c r="E34" s="6">
        <v>65</v>
      </c>
      <c r="F34" s="5" t="s">
        <v>14</v>
      </c>
      <c r="G34" s="5" t="s">
        <v>33</v>
      </c>
      <c r="H34" s="5" t="s">
        <v>27</v>
      </c>
      <c r="I34" s="5">
        <f t="shared" si="0"/>
        <v>1.70688</v>
      </c>
      <c r="J34" s="8">
        <f t="shared" si="1"/>
        <v>22.3</v>
      </c>
      <c r="K34" s="9" t="str">
        <f t="shared" si="2"/>
        <v>Normal</v>
      </c>
      <c r="L34" s="9" t="str">
        <f t="shared" si="3"/>
        <v>0–20</v>
      </c>
    </row>
    <row r="35" spans="1:12" ht="15.6" x14ac:dyDescent="0.3">
      <c r="A35" s="5" t="s">
        <v>58</v>
      </c>
      <c r="B35" s="6">
        <v>18</v>
      </c>
      <c r="C35" s="5" t="s">
        <v>13</v>
      </c>
      <c r="D35" s="7">
        <v>5.9</v>
      </c>
      <c r="E35" s="6">
        <v>54</v>
      </c>
      <c r="F35" s="5" t="s">
        <v>14</v>
      </c>
      <c r="G35" s="5" t="s">
        <v>15</v>
      </c>
      <c r="H35" s="5" t="s">
        <v>27</v>
      </c>
      <c r="I35" s="5">
        <f t="shared" si="0"/>
        <v>1.7983200000000001</v>
      </c>
      <c r="J35" s="8">
        <f t="shared" si="1"/>
        <v>16.7</v>
      </c>
      <c r="K35" s="9" t="str">
        <f t="shared" si="2"/>
        <v>Underweight</v>
      </c>
      <c r="L35" s="9" t="str">
        <f t="shared" si="3"/>
        <v>0–20</v>
      </c>
    </row>
    <row r="36" spans="1:12" ht="15.6" x14ac:dyDescent="0.3">
      <c r="A36" s="5" t="s">
        <v>59</v>
      </c>
      <c r="B36" s="6">
        <v>19</v>
      </c>
      <c r="C36" s="5" t="s">
        <v>18</v>
      </c>
      <c r="D36" s="6">
        <v>5</v>
      </c>
      <c r="E36" s="6">
        <v>80</v>
      </c>
      <c r="F36" s="5" t="s">
        <v>14</v>
      </c>
      <c r="G36" s="5" t="s">
        <v>33</v>
      </c>
      <c r="H36" s="5" t="s">
        <v>27</v>
      </c>
      <c r="I36" s="5">
        <f t="shared" si="0"/>
        <v>1.524</v>
      </c>
      <c r="J36" s="12">
        <f t="shared" si="1"/>
        <v>34.4</v>
      </c>
      <c r="K36" s="9" t="str">
        <f t="shared" si="2"/>
        <v>Obese</v>
      </c>
      <c r="L36" s="9" t="str">
        <f t="shared" si="3"/>
        <v>0–20</v>
      </c>
    </row>
    <row r="37" spans="1:12" ht="15.6" x14ac:dyDescent="0.3">
      <c r="A37" s="5" t="s">
        <v>60</v>
      </c>
      <c r="B37" s="6">
        <v>19</v>
      </c>
      <c r="C37" s="5" t="s">
        <v>18</v>
      </c>
      <c r="D37" s="7">
        <v>4.9000000000000004</v>
      </c>
      <c r="E37" s="6">
        <v>56</v>
      </c>
      <c r="F37" s="5" t="s">
        <v>14</v>
      </c>
      <c r="G37" s="5" t="s">
        <v>33</v>
      </c>
      <c r="H37" s="5" t="s">
        <v>27</v>
      </c>
      <c r="I37" s="5">
        <f t="shared" si="0"/>
        <v>1.4935200000000002</v>
      </c>
      <c r="J37" s="10">
        <f t="shared" si="1"/>
        <v>25.1</v>
      </c>
      <c r="K37" s="9" t="str">
        <f t="shared" si="2"/>
        <v>Overweight</v>
      </c>
      <c r="L37" s="9" t="str">
        <f t="shared" si="3"/>
        <v>0–20</v>
      </c>
    </row>
    <row r="38" spans="1:12" ht="15.6" x14ac:dyDescent="0.3">
      <c r="A38" s="5" t="s">
        <v>61</v>
      </c>
      <c r="B38" s="6">
        <v>19</v>
      </c>
      <c r="C38" s="5" t="s">
        <v>18</v>
      </c>
      <c r="D38" s="6">
        <v>5.2</v>
      </c>
      <c r="E38" s="6">
        <v>50</v>
      </c>
      <c r="F38" s="5" t="s">
        <v>14</v>
      </c>
      <c r="G38" s="5" t="s">
        <v>33</v>
      </c>
      <c r="H38" s="5" t="s">
        <v>27</v>
      </c>
      <c r="I38" s="5">
        <f t="shared" si="0"/>
        <v>1.5849600000000001</v>
      </c>
      <c r="J38" s="8">
        <f t="shared" si="1"/>
        <v>19.899999999999999</v>
      </c>
      <c r="K38" s="9" t="str">
        <f t="shared" si="2"/>
        <v>Normal</v>
      </c>
      <c r="L38" s="9" t="str">
        <f t="shared" si="3"/>
        <v>0–20</v>
      </c>
    </row>
    <row r="39" spans="1:12" ht="15.6" x14ac:dyDescent="0.3">
      <c r="A39" s="5" t="s">
        <v>62</v>
      </c>
      <c r="B39" s="6">
        <v>20</v>
      </c>
      <c r="C39" s="5" t="s">
        <v>18</v>
      </c>
      <c r="D39" s="7">
        <v>5.7</v>
      </c>
      <c r="E39" s="6">
        <v>79</v>
      </c>
      <c r="F39" s="5" t="s">
        <v>20</v>
      </c>
      <c r="G39" s="5" t="s">
        <v>43</v>
      </c>
      <c r="H39" s="5" t="s">
        <v>16</v>
      </c>
      <c r="I39" s="5">
        <f t="shared" si="0"/>
        <v>1.7373600000000002</v>
      </c>
      <c r="J39" s="10">
        <f t="shared" si="1"/>
        <v>26.2</v>
      </c>
      <c r="K39" s="9" t="str">
        <f t="shared" si="2"/>
        <v>Overweight</v>
      </c>
      <c r="L39" s="9" t="str">
        <f t="shared" si="3"/>
        <v>0–20</v>
      </c>
    </row>
    <row r="40" spans="1:12" ht="15.6" x14ac:dyDescent="0.3">
      <c r="A40" s="5" t="s">
        <v>63</v>
      </c>
      <c r="B40" s="6">
        <v>18</v>
      </c>
      <c r="C40" s="5" t="s">
        <v>13</v>
      </c>
      <c r="D40" s="6">
        <v>5.5</v>
      </c>
      <c r="E40" s="6">
        <v>54</v>
      </c>
      <c r="F40" s="5" t="s">
        <v>31</v>
      </c>
      <c r="G40" s="5" t="s">
        <v>15</v>
      </c>
      <c r="H40" s="5" t="s">
        <v>16</v>
      </c>
      <c r="I40" s="5">
        <f t="shared" si="0"/>
        <v>1.6764000000000001</v>
      </c>
      <c r="J40" s="8">
        <f t="shared" si="1"/>
        <v>19.2</v>
      </c>
      <c r="K40" s="9" t="str">
        <f t="shared" si="2"/>
        <v>Normal</v>
      </c>
      <c r="L40" s="9" t="str">
        <f t="shared" si="3"/>
        <v>0–20</v>
      </c>
    </row>
    <row r="41" spans="1:12" ht="15.6" x14ac:dyDescent="0.3">
      <c r="A41" s="5" t="s">
        <v>64</v>
      </c>
      <c r="B41" s="6">
        <v>20</v>
      </c>
      <c r="C41" s="5" t="s">
        <v>18</v>
      </c>
      <c r="D41" s="6">
        <v>6</v>
      </c>
      <c r="E41" s="6">
        <v>45</v>
      </c>
      <c r="F41" s="5" t="s">
        <v>20</v>
      </c>
      <c r="G41" s="5" t="s">
        <v>21</v>
      </c>
      <c r="H41" s="5" t="s">
        <v>27</v>
      </c>
      <c r="I41" s="5">
        <f t="shared" si="0"/>
        <v>1.8288000000000002</v>
      </c>
      <c r="J41" s="8">
        <f t="shared" si="1"/>
        <v>13.5</v>
      </c>
      <c r="K41" s="9" t="str">
        <f t="shared" si="2"/>
        <v>Underweight</v>
      </c>
      <c r="L41" s="9" t="str">
        <f t="shared" si="3"/>
        <v>0–20</v>
      </c>
    </row>
    <row r="42" spans="1:12" ht="15.6" x14ac:dyDescent="0.3">
      <c r="A42" s="5" t="s">
        <v>65</v>
      </c>
      <c r="B42" s="6">
        <v>25</v>
      </c>
      <c r="C42" s="5" t="s">
        <v>18</v>
      </c>
      <c r="D42" s="6">
        <v>5.4</v>
      </c>
      <c r="E42" s="6">
        <v>58</v>
      </c>
      <c r="F42" s="5" t="s">
        <v>20</v>
      </c>
      <c r="G42" s="5" t="s">
        <v>21</v>
      </c>
      <c r="H42" s="5" t="s">
        <v>27</v>
      </c>
      <c r="I42" s="5">
        <f t="shared" si="0"/>
        <v>1.6459200000000003</v>
      </c>
      <c r="J42" s="8">
        <f t="shared" si="1"/>
        <v>21.4</v>
      </c>
      <c r="K42" s="9" t="str">
        <f t="shared" si="2"/>
        <v>Normal</v>
      </c>
      <c r="L42" s="9" t="str">
        <f t="shared" si="3"/>
        <v>21–40</v>
      </c>
    </row>
    <row r="43" spans="1:12" ht="15.6" x14ac:dyDescent="0.3">
      <c r="A43" s="5" t="s">
        <v>66</v>
      </c>
      <c r="B43" s="6">
        <v>20</v>
      </c>
      <c r="C43" s="5" t="s">
        <v>18</v>
      </c>
      <c r="D43" s="7">
        <v>5.3</v>
      </c>
      <c r="E43" s="6">
        <v>41</v>
      </c>
      <c r="F43" s="5" t="s">
        <v>31</v>
      </c>
      <c r="G43" s="5" t="s">
        <v>15</v>
      </c>
      <c r="H43" s="5" t="s">
        <v>16</v>
      </c>
      <c r="I43" s="5">
        <f t="shared" si="0"/>
        <v>1.61544</v>
      </c>
      <c r="J43" s="8">
        <f t="shared" si="1"/>
        <v>15.7</v>
      </c>
      <c r="K43" s="9" t="str">
        <f t="shared" si="2"/>
        <v>Underweight</v>
      </c>
      <c r="L43" s="9" t="str">
        <f t="shared" si="3"/>
        <v>0–20</v>
      </c>
    </row>
    <row r="44" spans="1:12" ht="15.6" x14ac:dyDescent="0.3">
      <c r="A44" s="5" t="s">
        <v>67</v>
      </c>
      <c r="B44" s="6">
        <v>20</v>
      </c>
      <c r="C44" s="5" t="s">
        <v>18</v>
      </c>
      <c r="D44" s="7">
        <v>4.0999999999999996</v>
      </c>
      <c r="E44" s="6">
        <v>41</v>
      </c>
      <c r="F44" s="5" t="s">
        <v>14</v>
      </c>
      <c r="G44" s="5" t="s">
        <v>33</v>
      </c>
      <c r="H44" s="5" t="s">
        <v>16</v>
      </c>
      <c r="I44" s="5">
        <f t="shared" si="0"/>
        <v>1.2496799999999999</v>
      </c>
      <c r="J44" s="10">
        <f t="shared" si="1"/>
        <v>26.3</v>
      </c>
      <c r="K44" s="9" t="str">
        <f t="shared" si="2"/>
        <v>Overweight</v>
      </c>
      <c r="L44" s="9" t="str">
        <f t="shared" si="3"/>
        <v>0–20</v>
      </c>
    </row>
    <row r="45" spans="1:12" ht="15.6" x14ac:dyDescent="0.3">
      <c r="A45" s="5" t="s">
        <v>68</v>
      </c>
      <c r="B45" s="6">
        <v>18</v>
      </c>
      <c r="C45" s="5" t="s">
        <v>18</v>
      </c>
      <c r="D45" s="7">
        <v>5.2</v>
      </c>
      <c r="E45" s="6">
        <v>70</v>
      </c>
      <c r="F45" s="5" t="s">
        <v>14</v>
      </c>
      <c r="G45" s="5" t="s">
        <v>33</v>
      </c>
      <c r="H45" s="5" t="s">
        <v>27</v>
      </c>
      <c r="I45" s="5">
        <f t="shared" si="0"/>
        <v>1.5849600000000001</v>
      </c>
      <c r="J45" s="10">
        <f t="shared" si="1"/>
        <v>27.9</v>
      </c>
      <c r="K45" s="9" t="str">
        <f t="shared" si="2"/>
        <v>Overweight</v>
      </c>
      <c r="L45" s="9" t="str">
        <f t="shared" si="3"/>
        <v>0–20</v>
      </c>
    </row>
    <row r="46" spans="1:12" ht="15.6" x14ac:dyDescent="0.3">
      <c r="A46" s="5" t="s">
        <v>69</v>
      </c>
      <c r="B46" s="6">
        <v>15</v>
      </c>
      <c r="C46" s="5" t="s">
        <v>18</v>
      </c>
      <c r="D46" s="7">
        <v>4</v>
      </c>
      <c r="E46" s="6">
        <v>40</v>
      </c>
      <c r="F46" s="5" t="s">
        <v>14</v>
      </c>
      <c r="G46" s="5" t="s">
        <v>15</v>
      </c>
      <c r="H46" s="5" t="s">
        <v>22</v>
      </c>
      <c r="I46" s="5">
        <f t="shared" si="0"/>
        <v>1.2192000000000001</v>
      </c>
      <c r="J46" s="10">
        <f t="shared" si="1"/>
        <v>26.9</v>
      </c>
      <c r="K46" s="9" t="str">
        <f t="shared" si="2"/>
        <v>Overweight</v>
      </c>
      <c r="L46" s="9" t="str">
        <f t="shared" si="3"/>
        <v>0–20</v>
      </c>
    </row>
    <row r="47" spans="1:12" ht="15.6" x14ac:dyDescent="0.3">
      <c r="A47" s="5" t="s">
        <v>70</v>
      </c>
      <c r="B47" s="6">
        <v>58</v>
      </c>
      <c r="C47" s="5" t="s">
        <v>13</v>
      </c>
      <c r="D47" s="7">
        <v>5.9</v>
      </c>
      <c r="E47" s="6">
        <v>80</v>
      </c>
      <c r="F47" s="5" t="s">
        <v>14</v>
      </c>
      <c r="G47" s="5" t="s">
        <v>15</v>
      </c>
      <c r="H47" s="5" t="s">
        <v>22</v>
      </c>
      <c r="I47" s="5">
        <f t="shared" si="0"/>
        <v>1.7983200000000001</v>
      </c>
      <c r="J47" s="8">
        <f t="shared" si="1"/>
        <v>24.7</v>
      </c>
      <c r="K47" s="9" t="str">
        <f t="shared" si="2"/>
        <v>Normal</v>
      </c>
      <c r="L47" s="9" t="str">
        <f t="shared" si="3"/>
        <v>41–60</v>
      </c>
    </row>
    <row r="48" spans="1:12" ht="15.6" x14ac:dyDescent="0.3">
      <c r="A48" s="5" t="s">
        <v>71</v>
      </c>
      <c r="B48" s="6">
        <v>19</v>
      </c>
      <c r="C48" s="5" t="s">
        <v>18</v>
      </c>
      <c r="D48" s="7">
        <v>4.8</v>
      </c>
      <c r="E48" s="6">
        <v>45</v>
      </c>
      <c r="F48" s="5" t="s">
        <v>31</v>
      </c>
      <c r="G48" s="5" t="s">
        <v>15</v>
      </c>
      <c r="H48" s="5" t="s">
        <v>27</v>
      </c>
      <c r="I48" s="5">
        <f t="shared" si="0"/>
        <v>1.4630400000000001</v>
      </c>
      <c r="J48" s="8">
        <f t="shared" si="1"/>
        <v>21</v>
      </c>
      <c r="K48" s="9" t="str">
        <f t="shared" si="2"/>
        <v>Normal</v>
      </c>
      <c r="L48" s="9" t="str">
        <f t="shared" si="3"/>
        <v>0–20</v>
      </c>
    </row>
    <row r="49" spans="1:12" ht="15.6" x14ac:dyDescent="0.3">
      <c r="A49" s="5" t="s">
        <v>72</v>
      </c>
      <c r="B49" s="6">
        <v>55</v>
      </c>
      <c r="C49" s="5" t="s">
        <v>13</v>
      </c>
      <c r="D49" s="7">
        <v>5.9</v>
      </c>
      <c r="E49" s="6">
        <v>80</v>
      </c>
      <c r="F49" s="5" t="s">
        <v>14</v>
      </c>
      <c r="G49" s="5" t="s">
        <v>15</v>
      </c>
      <c r="H49" s="5" t="s">
        <v>22</v>
      </c>
      <c r="I49" s="5">
        <f t="shared" si="0"/>
        <v>1.7983200000000001</v>
      </c>
      <c r="J49" s="8">
        <f t="shared" si="1"/>
        <v>24.7</v>
      </c>
      <c r="K49" s="9" t="str">
        <f t="shared" si="2"/>
        <v>Normal</v>
      </c>
      <c r="L49" s="9" t="str">
        <f t="shared" si="3"/>
        <v>41–60</v>
      </c>
    </row>
    <row r="50" spans="1:12" ht="15.6" x14ac:dyDescent="0.3">
      <c r="A50" s="5" t="s">
        <v>73</v>
      </c>
      <c r="B50" s="6">
        <v>21</v>
      </c>
      <c r="C50" s="5" t="s">
        <v>18</v>
      </c>
      <c r="D50" s="7">
        <v>5.2</v>
      </c>
      <c r="E50" s="6">
        <v>36</v>
      </c>
      <c r="F50" s="5" t="s">
        <v>14</v>
      </c>
      <c r="G50" s="5" t="s">
        <v>15</v>
      </c>
      <c r="H50" s="5" t="s">
        <v>27</v>
      </c>
      <c r="I50" s="5">
        <f t="shared" si="0"/>
        <v>1.5849600000000001</v>
      </c>
      <c r="J50" s="8">
        <f t="shared" si="1"/>
        <v>14.3</v>
      </c>
      <c r="K50" s="9" t="str">
        <f t="shared" si="2"/>
        <v>Underweight</v>
      </c>
      <c r="L50" s="9" t="str">
        <f t="shared" si="3"/>
        <v>21–40</v>
      </c>
    </row>
    <row r="51" spans="1:12" ht="15.6" x14ac:dyDescent="0.3">
      <c r="A51" s="5" t="s">
        <v>74</v>
      </c>
      <c r="B51" s="6">
        <v>20</v>
      </c>
      <c r="C51" s="5" t="s">
        <v>18</v>
      </c>
      <c r="D51" s="7">
        <v>5</v>
      </c>
      <c r="E51" s="6">
        <v>75</v>
      </c>
      <c r="F51" s="5" t="s">
        <v>14</v>
      </c>
      <c r="G51" s="5" t="s">
        <v>33</v>
      </c>
      <c r="H51" s="5" t="s">
        <v>27</v>
      </c>
      <c r="I51" s="5">
        <f t="shared" si="0"/>
        <v>1.524</v>
      </c>
      <c r="J51" s="12">
        <f t="shared" si="1"/>
        <v>32.299999999999997</v>
      </c>
      <c r="K51" s="9" t="str">
        <f t="shared" si="2"/>
        <v>Obese</v>
      </c>
      <c r="L51" s="9" t="str">
        <f t="shared" si="3"/>
        <v>0–20</v>
      </c>
    </row>
    <row r="52" spans="1:12" ht="15.6" x14ac:dyDescent="0.3">
      <c r="A52" s="5" t="s">
        <v>75</v>
      </c>
      <c r="B52" s="6">
        <v>23</v>
      </c>
      <c r="C52" s="5" t="s">
        <v>13</v>
      </c>
      <c r="D52" s="7">
        <v>5.5</v>
      </c>
      <c r="E52" s="6">
        <v>58</v>
      </c>
      <c r="F52" s="5" t="s">
        <v>14</v>
      </c>
      <c r="G52" s="5" t="s">
        <v>15</v>
      </c>
      <c r="H52" s="5" t="s">
        <v>27</v>
      </c>
      <c r="I52" s="5">
        <f t="shared" si="0"/>
        <v>1.6764000000000001</v>
      </c>
      <c r="J52" s="8">
        <f t="shared" si="1"/>
        <v>20.6</v>
      </c>
      <c r="K52" s="9" t="str">
        <f t="shared" si="2"/>
        <v>Normal</v>
      </c>
      <c r="L52" s="9" t="str">
        <f t="shared" si="3"/>
        <v>21–40</v>
      </c>
    </row>
    <row r="53" spans="1:12" ht="15.6" x14ac:dyDescent="0.3">
      <c r="A53" s="5" t="s">
        <v>76</v>
      </c>
      <c r="B53" s="6">
        <v>19</v>
      </c>
      <c r="C53" s="5" t="s">
        <v>18</v>
      </c>
      <c r="D53" s="6">
        <v>5</v>
      </c>
      <c r="E53" s="6">
        <v>55</v>
      </c>
      <c r="F53" s="5" t="s">
        <v>14</v>
      </c>
      <c r="G53" s="5" t="s">
        <v>15</v>
      </c>
      <c r="H53" s="5" t="s">
        <v>27</v>
      </c>
      <c r="I53" s="5">
        <f t="shared" si="0"/>
        <v>1.524</v>
      </c>
      <c r="J53" s="8">
        <f t="shared" si="1"/>
        <v>23.7</v>
      </c>
      <c r="K53" s="9" t="str">
        <f t="shared" si="2"/>
        <v>Normal</v>
      </c>
      <c r="L53" s="9" t="str">
        <f t="shared" si="3"/>
        <v>0–20</v>
      </c>
    </row>
    <row r="54" spans="1:12" ht="15.6" x14ac:dyDescent="0.3">
      <c r="A54" s="5" t="s">
        <v>77</v>
      </c>
      <c r="B54" s="6">
        <v>20</v>
      </c>
      <c r="C54" s="5" t="s">
        <v>18</v>
      </c>
      <c r="D54" s="7">
        <v>5.3</v>
      </c>
      <c r="E54" s="6">
        <v>52</v>
      </c>
      <c r="F54" s="5" t="s">
        <v>31</v>
      </c>
      <c r="G54" s="5" t="s">
        <v>15</v>
      </c>
      <c r="H54" s="5" t="s">
        <v>27</v>
      </c>
      <c r="I54" s="5">
        <f t="shared" si="0"/>
        <v>1.61544</v>
      </c>
      <c r="J54" s="8">
        <f t="shared" si="1"/>
        <v>19.899999999999999</v>
      </c>
      <c r="K54" s="9" t="str">
        <f t="shared" si="2"/>
        <v>Normal</v>
      </c>
      <c r="L54" s="9" t="str">
        <f t="shared" si="3"/>
        <v>0–20</v>
      </c>
    </row>
    <row r="55" spans="1:12" ht="15.6" x14ac:dyDescent="0.3">
      <c r="A55" s="5" t="s">
        <v>78</v>
      </c>
      <c r="B55" s="6">
        <v>19</v>
      </c>
      <c r="C55" s="5" t="s">
        <v>18</v>
      </c>
      <c r="D55" s="7">
        <v>5.2</v>
      </c>
      <c r="E55" s="11">
        <v>50</v>
      </c>
      <c r="F55" s="5" t="s">
        <v>14</v>
      </c>
      <c r="G55" s="5" t="s">
        <v>21</v>
      </c>
      <c r="H55" s="5" t="s">
        <v>16</v>
      </c>
      <c r="I55" s="5">
        <f t="shared" si="0"/>
        <v>1.5849600000000001</v>
      </c>
      <c r="J55" s="8">
        <f t="shared" si="1"/>
        <v>19.899999999999999</v>
      </c>
      <c r="K55" s="9" t="str">
        <f t="shared" si="2"/>
        <v>Normal</v>
      </c>
      <c r="L55" s="9" t="str">
        <f t="shared" si="3"/>
        <v>0–20</v>
      </c>
    </row>
    <row r="56" spans="1:12" ht="15.6" x14ac:dyDescent="0.3">
      <c r="A56" s="5" t="s">
        <v>79</v>
      </c>
      <c r="B56" s="6">
        <v>19</v>
      </c>
      <c r="C56" s="5" t="s">
        <v>18</v>
      </c>
      <c r="D56" s="7">
        <v>5.2</v>
      </c>
      <c r="E56" s="6">
        <v>46</v>
      </c>
      <c r="F56" s="5" t="s">
        <v>14</v>
      </c>
      <c r="G56" s="5" t="s">
        <v>33</v>
      </c>
      <c r="H56" s="5" t="s">
        <v>16</v>
      </c>
      <c r="I56" s="5">
        <f t="shared" si="0"/>
        <v>1.5849600000000001</v>
      </c>
      <c r="J56" s="8">
        <f t="shared" si="1"/>
        <v>18.3</v>
      </c>
      <c r="K56" s="9" t="str">
        <f t="shared" si="2"/>
        <v>Underweight</v>
      </c>
      <c r="L56" s="9" t="str">
        <f t="shared" si="3"/>
        <v>0–20</v>
      </c>
    </row>
    <row r="57" spans="1:12" ht="15.6" x14ac:dyDescent="0.3">
      <c r="A57" s="5" t="s">
        <v>80</v>
      </c>
      <c r="B57" s="6">
        <v>36</v>
      </c>
      <c r="C57" s="5" t="s">
        <v>18</v>
      </c>
      <c r="D57" s="7">
        <v>5.4</v>
      </c>
      <c r="E57" s="6">
        <v>52</v>
      </c>
      <c r="F57" s="5" t="s">
        <v>31</v>
      </c>
      <c r="G57" s="5" t="s">
        <v>33</v>
      </c>
      <c r="H57" s="5" t="s">
        <v>27</v>
      </c>
      <c r="I57" s="5">
        <f t="shared" si="0"/>
        <v>1.6459200000000003</v>
      </c>
      <c r="J57" s="8">
        <f t="shared" si="1"/>
        <v>19.2</v>
      </c>
      <c r="K57" s="9" t="str">
        <f t="shared" si="2"/>
        <v>Normal</v>
      </c>
      <c r="L57" s="9" t="str">
        <f t="shared" si="3"/>
        <v>21–40</v>
      </c>
    </row>
    <row r="58" spans="1:12" ht="15.6" x14ac:dyDescent="0.3">
      <c r="A58" s="5" t="s">
        <v>81</v>
      </c>
      <c r="B58" s="6">
        <v>21</v>
      </c>
      <c r="C58" s="5" t="s">
        <v>18</v>
      </c>
      <c r="D58" s="7">
        <v>5</v>
      </c>
      <c r="E58" s="6">
        <v>37</v>
      </c>
      <c r="F58" s="5" t="s">
        <v>14</v>
      </c>
      <c r="G58" s="5" t="s">
        <v>43</v>
      </c>
      <c r="H58" s="5" t="s">
        <v>22</v>
      </c>
      <c r="I58" s="5">
        <f t="shared" si="0"/>
        <v>1.524</v>
      </c>
      <c r="J58" s="8">
        <f t="shared" si="1"/>
        <v>15.9</v>
      </c>
      <c r="K58" s="9" t="str">
        <f t="shared" si="2"/>
        <v>Underweight</v>
      </c>
      <c r="L58" s="9" t="str">
        <f t="shared" si="3"/>
        <v>21–40</v>
      </c>
    </row>
    <row r="59" spans="1:12" ht="15.6" x14ac:dyDescent="0.3">
      <c r="A59" s="5" t="s">
        <v>82</v>
      </c>
      <c r="B59" s="6">
        <v>14</v>
      </c>
      <c r="C59" s="5" t="s">
        <v>18</v>
      </c>
      <c r="D59" s="6">
        <v>5</v>
      </c>
      <c r="E59" s="6">
        <v>40</v>
      </c>
      <c r="F59" s="5" t="s">
        <v>14</v>
      </c>
      <c r="G59" s="5" t="s">
        <v>21</v>
      </c>
      <c r="H59" s="5" t="s">
        <v>27</v>
      </c>
      <c r="I59" s="5">
        <f t="shared" si="0"/>
        <v>1.524</v>
      </c>
      <c r="J59" s="8">
        <f t="shared" si="1"/>
        <v>17.2</v>
      </c>
      <c r="K59" s="9" t="str">
        <f t="shared" si="2"/>
        <v>Underweight</v>
      </c>
      <c r="L59" s="9" t="str">
        <f t="shared" si="3"/>
        <v>0–20</v>
      </c>
    </row>
    <row r="60" spans="1:12" ht="15.6" x14ac:dyDescent="0.3">
      <c r="A60" s="5" t="s">
        <v>83</v>
      </c>
      <c r="B60" s="6">
        <v>20</v>
      </c>
      <c r="C60" s="5" t="s">
        <v>18</v>
      </c>
      <c r="D60" s="7">
        <v>4.9000000000000004</v>
      </c>
      <c r="E60" s="6">
        <v>47</v>
      </c>
      <c r="F60" s="5" t="s">
        <v>14</v>
      </c>
      <c r="G60" s="5" t="s">
        <v>21</v>
      </c>
      <c r="H60" s="5" t="s">
        <v>16</v>
      </c>
      <c r="I60" s="5">
        <f t="shared" si="0"/>
        <v>1.4935200000000002</v>
      </c>
      <c r="J60" s="8">
        <f t="shared" si="1"/>
        <v>21.1</v>
      </c>
      <c r="K60" s="9" t="str">
        <f t="shared" si="2"/>
        <v>Normal</v>
      </c>
      <c r="L60" s="9" t="str">
        <f t="shared" si="3"/>
        <v>0–20</v>
      </c>
    </row>
    <row r="61" spans="1:12" ht="15.6" x14ac:dyDescent="0.3">
      <c r="A61" s="5" t="s">
        <v>84</v>
      </c>
      <c r="B61" s="6">
        <v>19</v>
      </c>
      <c r="C61" s="5" t="s">
        <v>18</v>
      </c>
      <c r="D61" s="6">
        <v>5.4</v>
      </c>
      <c r="E61" s="6">
        <v>70</v>
      </c>
      <c r="F61" s="5" t="s">
        <v>14</v>
      </c>
      <c r="G61" s="5" t="s">
        <v>15</v>
      </c>
      <c r="H61" s="5" t="s">
        <v>27</v>
      </c>
      <c r="I61" s="5">
        <f t="shared" si="0"/>
        <v>1.6459200000000003</v>
      </c>
      <c r="J61" s="10">
        <f t="shared" si="1"/>
        <v>25.8</v>
      </c>
      <c r="K61" s="9" t="str">
        <f t="shared" si="2"/>
        <v>Overweight</v>
      </c>
      <c r="L61" s="9" t="str">
        <f t="shared" si="3"/>
        <v>0–20</v>
      </c>
    </row>
    <row r="62" spans="1:12" ht="15.6" x14ac:dyDescent="0.3">
      <c r="A62" s="5" t="s">
        <v>85</v>
      </c>
      <c r="B62" s="6">
        <v>60</v>
      </c>
      <c r="C62" s="5" t="s">
        <v>13</v>
      </c>
      <c r="D62" s="7">
        <v>5.9</v>
      </c>
      <c r="E62" s="6">
        <v>79</v>
      </c>
      <c r="F62" s="5" t="s">
        <v>14</v>
      </c>
      <c r="G62" s="5" t="s">
        <v>33</v>
      </c>
      <c r="H62" s="5" t="s">
        <v>22</v>
      </c>
      <c r="I62" s="5">
        <f t="shared" si="0"/>
        <v>1.7983200000000001</v>
      </c>
      <c r="J62" s="8">
        <f t="shared" si="1"/>
        <v>24.4</v>
      </c>
      <c r="K62" s="9" t="str">
        <f t="shared" si="2"/>
        <v>Normal</v>
      </c>
      <c r="L62" s="9" t="str">
        <f t="shared" si="3"/>
        <v>41–60</v>
      </c>
    </row>
    <row r="63" spans="1:12" ht="15.6" x14ac:dyDescent="0.3">
      <c r="A63" s="5" t="s">
        <v>86</v>
      </c>
      <c r="B63" s="6">
        <v>32</v>
      </c>
      <c r="C63" s="5" t="s">
        <v>13</v>
      </c>
      <c r="D63" s="6">
        <v>4.8</v>
      </c>
      <c r="E63" s="6">
        <v>70</v>
      </c>
      <c r="F63" s="5" t="s">
        <v>31</v>
      </c>
      <c r="G63" s="5" t="s">
        <v>15</v>
      </c>
      <c r="H63" s="5" t="s">
        <v>22</v>
      </c>
      <c r="I63" s="5">
        <f t="shared" si="0"/>
        <v>1.4630400000000001</v>
      </c>
      <c r="J63" s="12">
        <f t="shared" si="1"/>
        <v>32.700000000000003</v>
      </c>
      <c r="K63" s="9" t="str">
        <f t="shared" si="2"/>
        <v>Obese</v>
      </c>
      <c r="L63" s="9" t="str">
        <f t="shared" si="3"/>
        <v>21–40</v>
      </c>
    </row>
    <row r="64" spans="1:12" ht="15.6" x14ac:dyDescent="0.3">
      <c r="A64" s="5" t="s">
        <v>87</v>
      </c>
      <c r="B64" s="6">
        <v>20</v>
      </c>
      <c r="C64" s="5" t="s">
        <v>18</v>
      </c>
      <c r="D64" s="6">
        <v>5.2</v>
      </c>
      <c r="E64" s="6">
        <v>64</v>
      </c>
      <c r="F64" s="5" t="s">
        <v>31</v>
      </c>
      <c r="G64" s="5" t="s">
        <v>15</v>
      </c>
      <c r="H64" s="5" t="s">
        <v>16</v>
      </c>
      <c r="I64" s="5">
        <f t="shared" si="0"/>
        <v>1.5849600000000001</v>
      </c>
      <c r="J64" s="10">
        <f t="shared" si="1"/>
        <v>25.5</v>
      </c>
      <c r="K64" s="9" t="str">
        <f t="shared" si="2"/>
        <v>Overweight</v>
      </c>
      <c r="L64" s="9" t="str">
        <f t="shared" si="3"/>
        <v>0–20</v>
      </c>
    </row>
    <row r="65" spans="1:12" ht="15.6" x14ac:dyDescent="0.3">
      <c r="A65" s="5" t="s">
        <v>88</v>
      </c>
      <c r="B65" s="6">
        <v>20</v>
      </c>
      <c r="C65" s="5" t="s">
        <v>18</v>
      </c>
      <c r="D65" s="6">
        <v>5.4</v>
      </c>
      <c r="E65" s="6">
        <v>46</v>
      </c>
      <c r="F65" s="5" t="s">
        <v>14</v>
      </c>
      <c r="G65" s="5" t="s">
        <v>21</v>
      </c>
      <c r="H65" s="5" t="s">
        <v>27</v>
      </c>
      <c r="I65" s="5">
        <f t="shared" si="0"/>
        <v>1.6459200000000003</v>
      </c>
      <c r="J65" s="8">
        <f t="shared" si="1"/>
        <v>17</v>
      </c>
      <c r="K65" s="9" t="str">
        <f t="shared" si="2"/>
        <v>Underweight</v>
      </c>
      <c r="L65" s="9" t="str">
        <f t="shared" si="3"/>
        <v>0–20</v>
      </c>
    </row>
    <row r="66" spans="1:12" ht="15.6" x14ac:dyDescent="0.3">
      <c r="A66" s="5" t="s">
        <v>89</v>
      </c>
      <c r="B66" s="6">
        <v>18</v>
      </c>
      <c r="C66" s="5" t="s">
        <v>13</v>
      </c>
      <c r="D66" s="6">
        <v>5.5</v>
      </c>
      <c r="E66" s="6">
        <v>54</v>
      </c>
      <c r="F66" s="5" t="s">
        <v>31</v>
      </c>
      <c r="G66" s="5" t="s">
        <v>15</v>
      </c>
      <c r="H66" s="5" t="s">
        <v>16</v>
      </c>
      <c r="I66" s="5">
        <f t="shared" ref="I66:I108" si="4">D66*0.3048</f>
        <v>1.6764000000000001</v>
      </c>
      <c r="J66" s="8">
        <f t="shared" si="1"/>
        <v>19.2</v>
      </c>
      <c r="K66" s="9" t="str">
        <f t="shared" si="2"/>
        <v>Normal</v>
      </c>
      <c r="L66" s="9" t="str">
        <f t="shared" si="3"/>
        <v>0–20</v>
      </c>
    </row>
    <row r="67" spans="1:12" ht="15.6" x14ac:dyDescent="0.3">
      <c r="A67" s="5" t="s">
        <v>90</v>
      </c>
      <c r="B67" s="6">
        <v>19</v>
      </c>
      <c r="C67" s="5" t="s">
        <v>18</v>
      </c>
      <c r="D67" s="6">
        <v>5.2</v>
      </c>
      <c r="E67" s="6">
        <v>67</v>
      </c>
      <c r="F67" s="5" t="s">
        <v>31</v>
      </c>
      <c r="G67" s="5" t="s">
        <v>15</v>
      </c>
      <c r="H67" s="5" t="s">
        <v>27</v>
      </c>
      <c r="I67" s="5">
        <f t="shared" si="4"/>
        <v>1.5849600000000001</v>
      </c>
      <c r="J67" s="10">
        <f t="shared" ref="J67:J108" si="5">ROUND(E67/(I67^2), 1)</f>
        <v>26.7</v>
      </c>
      <c r="K67" s="9" t="str">
        <f t="shared" ref="K67:K108" si="6">IF(J67="","",IF(J67&lt;18.5,"Underweight",IF(J67&lt;25,"Normal",IF(J67&lt;30,"Overweight","Obese"))))</f>
        <v>Overweight</v>
      </c>
      <c r="L67" s="9" t="str">
        <f t="shared" ref="L67:L108" si="7">IF(B67&lt;=20,"0–20",IF(B67&lt;=40,"21–40",IF(B67&lt;=60,"41–60","61+")))</f>
        <v>0–20</v>
      </c>
    </row>
    <row r="68" spans="1:12" ht="15.6" x14ac:dyDescent="0.3">
      <c r="A68" s="5" t="s">
        <v>91</v>
      </c>
      <c r="B68" s="6">
        <v>25</v>
      </c>
      <c r="C68" s="5" t="s">
        <v>13</v>
      </c>
      <c r="D68" s="7">
        <v>5.9</v>
      </c>
      <c r="E68" s="6">
        <v>75</v>
      </c>
      <c r="F68" s="5" t="s">
        <v>20</v>
      </c>
      <c r="G68" s="5" t="s">
        <v>15</v>
      </c>
      <c r="H68" s="5" t="s">
        <v>27</v>
      </c>
      <c r="I68" s="5">
        <f t="shared" si="4"/>
        <v>1.7983200000000001</v>
      </c>
      <c r="J68" s="8">
        <f t="shared" si="5"/>
        <v>23.2</v>
      </c>
      <c r="K68" s="9" t="str">
        <f t="shared" si="6"/>
        <v>Normal</v>
      </c>
      <c r="L68" s="9" t="str">
        <f t="shared" si="7"/>
        <v>21–40</v>
      </c>
    </row>
    <row r="69" spans="1:12" ht="15.6" x14ac:dyDescent="0.3">
      <c r="A69" s="5" t="s">
        <v>92</v>
      </c>
      <c r="B69" s="6">
        <v>21</v>
      </c>
      <c r="C69" s="5" t="s">
        <v>13</v>
      </c>
      <c r="D69" s="6">
        <v>5.6</v>
      </c>
      <c r="E69" s="6">
        <v>68</v>
      </c>
      <c r="F69" s="5" t="s">
        <v>14</v>
      </c>
      <c r="G69" s="5" t="s">
        <v>33</v>
      </c>
      <c r="H69" s="5" t="s">
        <v>27</v>
      </c>
      <c r="I69" s="5">
        <f t="shared" si="4"/>
        <v>1.70688</v>
      </c>
      <c r="J69" s="8">
        <f t="shared" si="5"/>
        <v>23.3</v>
      </c>
      <c r="K69" s="9" t="str">
        <f t="shared" si="6"/>
        <v>Normal</v>
      </c>
      <c r="L69" s="9" t="str">
        <f t="shared" si="7"/>
        <v>21–40</v>
      </c>
    </row>
    <row r="70" spans="1:12" ht="15.6" x14ac:dyDescent="0.3">
      <c r="A70" s="5" t="s">
        <v>93</v>
      </c>
      <c r="B70" s="6">
        <v>19</v>
      </c>
      <c r="C70" s="5" t="s">
        <v>18</v>
      </c>
      <c r="D70" s="6">
        <v>5.4</v>
      </c>
      <c r="E70" s="6">
        <v>37</v>
      </c>
      <c r="F70" s="5" t="s">
        <v>14</v>
      </c>
      <c r="G70" s="5" t="s">
        <v>33</v>
      </c>
      <c r="H70" s="5" t="s">
        <v>16</v>
      </c>
      <c r="I70" s="5">
        <f t="shared" si="4"/>
        <v>1.6459200000000003</v>
      </c>
      <c r="J70" s="8">
        <f t="shared" si="5"/>
        <v>13.7</v>
      </c>
      <c r="K70" s="9" t="str">
        <f t="shared" si="6"/>
        <v>Underweight</v>
      </c>
      <c r="L70" s="9" t="str">
        <f t="shared" si="7"/>
        <v>0–20</v>
      </c>
    </row>
    <row r="71" spans="1:12" ht="15.6" x14ac:dyDescent="0.3">
      <c r="A71" s="5" t="s">
        <v>94</v>
      </c>
      <c r="B71" s="6">
        <v>24</v>
      </c>
      <c r="C71" s="5" t="s">
        <v>13</v>
      </c>
      <c r="D71" s="7">
        <v>5.6</v>
      </c>
      <c r="E71" s="6">
        <v>58</v>
      </c>
      <c r="F71" s="5" t="s">
        <v>14</v>
      </c>
      <c r="G71" s="5" t="s">
        <v>15</v>
      </c>
      <c r="H71" s="5" t="s">
        <v>16</v>
      </c>
      <c r="I71" s="5">
        <f t="shared" si="4"/>
        <v>1.70688</v>
      </c>
      <c r="J71" s="8">
        <f t="shared" si="5"/>
        <v>19.899999999999999</v>
      </c>
      <c r="K71" s="9" t="str">
        <f t="shared" si="6"/>
        <v>Normal</v>
      </c>
      <c r="L71" s="9" t="str">
        <f t="shared" si="7"/>
        <v>21–40</v>
      </c>
    </row>
    <row r="72" spans="1:12" ht="15.6" x14ac:dyDescent="0.3">
      <c r="A72" s="5" t="s">
        <v>95</v>
      </c>
      <c r="B72" s="6">
        <v>21</v>
      </c>
      <c r="C72" s="5" t="s">
        <v>18</v>
      </c>
      <c r="D72" s="6">
        <v>5.8</v>
      </c>
      <c r="E72" s="6">
        <v>53</v>
      </c>
      <c r="F72" s="5" t="s">
        <v>14</v>
      </c>
      <c r="G72" s="5" t="s">
        <v>43</v>
      </c>
      <c r="H72" s="5" t="s">
        <v>16</v>
      </c>
      <c r="I72" s="5">
        <f t="shared" si="4"/>
        <v>1.7678400000000001</v>
      </c>
      <c r="J72" s="8">
        <f t="shared" si="5"/>
        <v>17</v>
      </c>
      <c r="K72" s="9" t="str">
        <f t="shared" si="6"/>
        <v>Underweight</v>
      </c>
      <c r="L72" s="9" t="str">
        <f t="shared" si="7"/>
        <v>21–40</v>
      </c>
    </row>
    <row r="73" spans="1:12" ht="15.6" x14ac:dyDescent="0.3">
      <c r="A73" s="5" t="s">
        <v>96</v>
      </c>
      <c r="B73" s="6">
        <v>19</v>
      </c>
      <c r="C73" s="5" t="s">
        <v>18</v>
      </c>
      <c r="D73" s="7">
        <v>5.6</v>
      </c>
      <c r="E73" s="6">
        <v>45</v>
      </c>
      <c r="F73" s="5" t="s">
        <v>14</v>
      </c>
      <c r="G73" s="5" t="s">
        <v>43</v>
      </c>
      <c r="H73" s="5" t="s">
        <v>22</v>
      </c>
      <c r="I73" s="5">
        <f t="shared" si="4"/>
        <v>1.70688</v>
      </c>
      <c r="J73" s="8">
        <f t="shared" si="5"/>
        <v>15.4</v>
      </c>
      <c r="K73" s="9" t="str">
        <f t="shared" si="6"/>
        <v>Underweight</v>
      </c>
      <c r="L73" s="9" t="str">
        <f t="shared" si="7"/>
        <v>0–20</v>
      </c>
    </row>
    <row r="74" spans="1:12" ht="15.6" x14ac:dyDescent="0.3">
      <c r="A74" s="5" t="s">
        <v>97</v>
      </c>
      <c r="B74" s="6">
        <v>19</v>
      </c>
      <c r="C74" s="5" t="s">
        <v>18</v>
      </c>
      <c r="D74" s="6">
        <v>5.4</v>
      </c>
      <c r="E74" s="6">
        <v>47</v>
      </c>
      <c r="F74" s="5" t="s">
        <v>20</v>
      </c>
      <c r="G74" s="5" t="s">
        <v>15</v>
      </c>
      <c r="H74" s="5" t="s">
        <v>27</v>
      </c>
      <c r="I74" s="5">
        <f t="shared" si="4"/>
        <v>1.6459200000000003</v>
      </c>
      <c r="J74" s="8">
        <f t="shared" si="5"/>
        <v>17.3</v>
      </c>
      <c r="K74" s="9" t="str">
        <f t="shared" si="6"/>
        <v>Underweight</v>
      </c>
      <c r="L74" s="9" t="str">
        <f t="shared" si="7"/>
        <v>0–20</v>
      </c>
    </row>
    <row r="75" spans="1:12" ht="15.6" x14ac:dyDescent="0.3">
      <c r="A75" s="5" t="s">
        <v>98</v>
      </c>
      <c r="B75" s="6">
        <v>20</v>
      </c>
      <c r="C75" s="5" t="s">
        <v>18</v>
      </c>
      <c r="D75" s="6">
        <v>4.9000000000000004</v>
      </c>
      <c r="E75" s="6">
        <v>60</v>
      </c>
      <c r="F75" s="5" t="s">
        <v>20</v>
      </c>
      <c r="G75" s="5" t="s">
        <v>43</v>
      </c>
      <c r="H75" s="5" t="s">
        <v>27</v>
      </c>
      <c r="I75" s="5">
        <f t="shared" si="4"/>
        <v>1.4935200000000002</v>
      </c>
      <c r="J75" s="10">
        <f t="shared" si="5"/>
        <v>26.9</v>
      </c>
      <c r="K75" s="9" t="str">
        <f t="shared" si="6"/>
        <v>Overweight</v>
      </c>
      <c r="L75" s="9" t="str">
        <f t="shared" si="7"/>
        <v>0–20</v>
      </c>
    </row>
    <row r="76" spans="1:12" ht="15.6" x14ac:dyDescent="0.3">
      <c r="A76" s="5" t="s">
        <v>99</v>
      </c>
      <c r="B76" s="6">
        <v>55</v>
      </c>
      <c r="C76" s="5" t="s">
        <v>18</v>
      </c>
      <c r="D76" s="7">
        <v>6</v>
      </c>
      <c r="E76" s="6">
        <v>80</v>
      </c>
      <c r="F76" s="5" t="s">
        <v>31</v>
      </c>
      <c r="G76" s="5" t="s">
        <v>15</v>
      </c>
      <c r="H76" s="5" t="s">
        <v>22</v>
      </c>
      <c r="I76" s="5">
        <f t="shared" si="4"/>
        <v>1.8288000000000002</v>
      </c>
      <c r="J76" s="8">
        <f t="shared" si="5"/>
        <v>23.9</v>
      </c>
      <c r="K76" s="9" t="str">
        <f t="shared" si="6"/>
        <v>Normal</v>
      </c>
      <c r="L76" s="9" t="str">
        <f t="shared" si="7"/>
        <v>41–60</v>
      </c>
    </row>
    <row r="77" spans="1:12" ht="15.6" x14ac:dyDescent="0.3">
      <c r="A77" s="5" t="s">
        <v>100</v>
      </c>
      <c r="B77" s="6">
        <v>21</v>
      </c>
      <c r="C77" s="5" t="s">
        <v>18</v>
      </c>
      <c r="D77" s="7">
        <v>5</v>
      </c>
      <c r="E77" s="6">
        <v>49</v>
      </c>
      <c r="F77" s="5" t="s">
        <v>14</v>
      </c>
      <c r="G77" s="5" t="s">
        <v>33</v>
      </c>
      <c r="H77" s="5" t="s">
        <v>16</v>
      </c>
      <c r="I77" s="5">
        <f t="shared" si="4"/>
        <v>1.524</v>
      </c>
      <c r="J77" s="8">
        <f t="shared" si="5"/>
        <v>21.1</v>
      </c>
      <c r="K77" s="9" t="str">
        <f t="shared" si="6"/>
        <v>Normal</v>
      </c>
      <c r="L77" s="9" t="str">
        <f t="shared" si="7"/>
        <v>21–40</v>
      </c>
    </row>
    <row r="78" spans="1:12" ht="15.6" x14ac:dyDescent="0.3">
      <c r="A78" s="5" t="s">
        <v>101</v>
      </c>
      <c r="B78" s="6">
        <v>20</v>
      </c>
      <c r="C78" s="5" t="s">
        <v>18</v>
      </c>
      <c r="D78" s="7">
        <v>5</v>
      </c>
      <c r="E78" s="6">
        <v>35</v>
      </c>
      <c r="F78" s="5" t="s">
        <v>14</v>
      </c>
      <c r="G78" s="5" t="s">
        <v>15</v>
      </c>
      <c r="H78" s="5" t="s">
        <v>16</v>
      </c>
      <c r="I78" s="5">
        <f t="shared" si="4"/>
        <v>1.524</v>
      </c>
      <c r="J78" s="8">
        <f t="shared" si="5"/>
        <v>15.1</v>
      </c>
      <c r="K78" s="9" t="str">
        <f t="shared" si="6"/>
        <v>Underweight</v>
      </c>
      <c r="L78" s="9" t="str">
        <f t="shared" si="7"/>
        <v>0–20</v>
      </c>
    </row>
    <row r="79" spans="1:12" ht="15.6" x14ac:dyDescent="0.3">
      <c r="A79" s="5" t="s">
        <v>102</v>
      </c>
      <c r="B79" s="6">
        <v>18</v>
      </c>
      <c r="C79" s="5" t="s">
        <v>18</v>
      </c>
      <c r="D79" s="6">
        <v>6</v>
      </c>
      <c r="E79" s="6">
        <v>67</v>
      </c>
      <c r="F79" s="5" t="s">
        <v>14</v>
      </c>
      <c r="G79" s="5" t="s">
        <v>15</v>
      </c>
      <c r="H79" s="5" t="s">
        <v>22</v>
      </c>
      <c r="I79" s="5">
        <f t="shared" si="4"/>
        <v>1.8288000000000002</v>
      </c>
      <c r="J79" s="8">
        <f t="shared" si="5"/>
        <v>20</v>
      </c>
      <c r="K79" s="9" t="str">
        <f t="shared" si="6"/>
        <v>Normal</v>
      </c>
      <c r="L79" s="9" t="str">
        <f t="shared" si="7"/>
        <v>0–20</v>
      </c>
    </row>
    <row r="80" spans="1:12" ht="15.6" x14ac:dyDescent="0.3">
      <c r="A80" s="5" t="s">
        <v>103</v>
      </c>
      <c r="B80" s="6">
        <v>65</v>
      </c>
      <c r="C80" s="5" t="s">
        <v>18</v>
      </c>
      <c r="D80" s="7">
        <v>6</v>
      </c>
      <c r="E80" s="6">
        <v>78</v>
      </c>
      <c r="F80" s="5" t="s">
        <v>14</v>
      </c>
      <c r="G80" s="5" t="s">
        <v>21</v>
      </c>
      <c r="H80" s="5" t="s">
        <v>22</v>
      </c>
      <c r="I80" s="5">
        <f t="shared" si="4"/>
        <v>1.8288000000000002</v>
      </c>
      <c r="J80" s="8">
        <f t="shared" si="5"/>
        <v>23.3</v>
      </c>
      <c r="K80" s="9" t="str">
        <f t="shared" si="6"/>
        <v>Normal</v>
      </c>
      <c r="L80" s="9" t="str">
        <f t="shared" si="7"/>
        <v>61+</v>
      </c>
    </row>
    <row r="81" spans="1:12" ht="15.6" x14ac:dyDescent="0.3">
      <c r="A81" s="5" t="s">
        <v>104</v>
      </c>
      <c r="B81" s="6">
        <v>21</v>
      </c>
      <c r="C81" s="5" t="s">
        <v>13</v>
      </c>
      <c r="D81" s="7">
        <v>5.9</v>
      </c>
      <c r="E81" s="6">
        <v>61</v>
      </c>
      <c r="F81" s="5" t="s">
        <v>20</v>
      </c>
      <c r="G81" s="5" t="s">
        <v>15</v>
      </c>
      <c r="H81" s="5" t="s">
        <v>27</v>
      </c>
      <c r="I81" s="5">
        <f t="shared" si="4"/>
        <v>1.7983200000000001</v>
      </c>
      <c r="J81" s="8">
        <f t="shared" si="5"/>
        <v>18.899999999999999</v>
      </c>
      <c r="K81" s="9" t="str">
        <f t="shared" si="6"/>
        <v>Normal</v>
      </c>
      <c r="L81" s="9" t="str">
        <f t="shared" si="7"/>
        <v>21–40</v>
      </c>
    </row>
    <row r="82" spans="1:12" ht="15.6" x14ac:dyDescent="0.3">
      <c r="A82" s="5" t="s">
        <v>105</v>
      </c>
      <c r="B82" s="6">
        <v>19</v>
      </c>
      <c r="C82" s="5" t="s">
        <v>18</v>
      </c>
      <c r="D82" s="7">
        <v>5.2</v>
      </c>
      <c r="E82" s="6">
        <v>52</v>
      </c>
      <c r="F82" s="5" t="s">
        <v>14</v>
      </c>
      <c r="G82" s="5" t="s">
        <v>33</v>
      </c>
      <c r="H82" s="5" t="s">
        <v>27</v>
      </c>
      <c r="I82" s="5">
        <f t="shared" si="4"/>
        <v>1.5849600000000001</v>
      </c>
      <c r="J82" s="8">
        <f t="shared" si="5"/>
        <v>20.7</v>
      </c>
      <c r="K82" s="9" t="str">
        <f t="shared" si="6"/>
        <v>Normal</v>
      </c>
      <c r="L82" s="9" t="str">
        <f t="shared" si="7"/>
        <v>0–20</v>
      </c>
    </row>
    <row r="83" spans="1:12" ht="15.6" x14ac:dyDescent="0.3">
      <c r="A83" s="5" t="s">
        <v>106</v>
      </c>
      <c r="B83" s="6">
        <v>43</v>
      </c>
      <c r="C83" s="5" t="s">
        <v>18</v>
      </c>
      <c r="D83" s="6">
        <v>5</v>
      </c>
      <c r="E83" s="6">
        <v>55</v>
      </c>
      <c r="F83" s="5" t="s">
        <v>14</v>
      </c>
      <c r="G83" s="5" t="s">
        <v>15</v>
      </c>
      <c r="H83" s="5" t="s">
        <v>27</v>
      </c>
      <c r="I83" s="5">
        <f t="shared" si="4"/>
        <v>1.524</v>
      </c>
      <c r="J83" s="8">
        <f t="shared" si="5"/>
        <v>23.7</v>
      </c>
      <c r="K83" s="9" t="str">
        <f t="shared" si="6"/>
        <v>Normal</v>
      </c>
      <c r="L83" s="9" t="str">
        <f t="shared" si="7"/>
        <v>41–60</v>
      </c>
    </row>
    <row r="84" spans="1:12" ht="15.6" x14ac:dyDescent="0.3">
      <c r="A84" s="5" t="s">
        <v>107</v>
      </c>
      <c r="B84" s="6">
        <v>24</v>
      </c>
      <c r="C84" s="5" t="s">
        <v>13</v>
      </c>
      <c r="D84" s="7">
        <v>5.7</v>
      </c>
      <c r="E84" s="6">
        <v>58</v>
      </c>
      <c r="F84" s="5" t="s">
        <v>20</v>
      </c>
      <c r="G84" s="5" t="s">
        <v>21</v>
      </c>
      <c r="H84" s="5" t="s">
        <v>27</v>
      </c>
      <c r="I84" s="5">
        <f t="shared" si="4"/>
        <v>1.7373600000000002</v>
      </c>
      <c r="J84" s="8">
        <f t="shared" si="5"/>
        <v>19.2</v>
      </c>
      <c r="K84" s="9" t="str">
        <f t="shared" si="6"/>
        <v>Normal</v>
      </c>
      <c r="L84" s="9" t="str">
        <f t="shared" si="7"/>
        <v>21–40</v>
      </c>
    </row>
    <row r="85" spans="1:12" ht="15.6" x14ac:dyDescent="0.3">
      <c r="A85" s="5" t="s">
        <v>108</v>
      </c>
      <c r="B85" s="6">
        <v>20</v>
      </c>
      <c r="C85" s="5" t="s">
        <v>18</v>
      </c>
      <c r="D85" s="7">
        <v>5.7</v>
      </c>
      <c r="E85" s="6">
        <v>58</v>
      </c>
      <c r="F85" s="5" t="s">
        <v>14</v>
      </c>
      <c r="G85" s="5" t="s">
        <v>15</v>
      </c>
      <c r="H85" s="5" t="s">
        <v>27</v>
      </c>
      <c r="I85" s="5">
        <f t="shared" si="4"/>
        <v>1.7373600000000002</v>
      </c>
      <c r="J85" s="8">
        <f t="shared" si="5"/>
        <v>19.2</v>
      </c>
      <c r="K85" s="9" t="str">
        <f t="shared" si="6"/>
        <v>Normal</v>
      </c>
      <c r="L85" s="9" t="str">
        <f t="shared" si="7"/>
        <v>0–20</v>
      </c>
    </row>
    <row r="86" spans="1:12" ht="15.6" x14ac:dyDescent="0.3">
      <c r="A86" s="5" t="s">
        <v>109</v>
      </c>
      <c r="B86" s="6">
        <v>20</v>
      </c>
      <c r="C86" s="5" t="s">
        <v>18</v>
      </c>
      <c r="D86" s="7">
        <v>5.7</v>
      </c>
      <c r="E86" s="6">
        <v>50</v>
      </c>
      <c r="F86" s="5" t="s">
        <v>20</v>
      </c>
      <c r="G86" s="5" t="s">
        <v>15</v>
      </c>
      <c r="H86" s="5" t="s">
        <v>27</v>
      </c>
      <c r="I86" s="5">
        <f t="shared" si="4"/>
        <v>1.7373600000000002</v>
      </c>
      <c r="J86" s="8">
        <f t="shared" si="5"/>
        <v>16.600000000000001</v>
      </c>
      <c r="K86" s="9" t="str">
        <f t="shared" si="6"/>
        <v>Underweight</v>
      </c>
      <c r="L86" s="9" t="str">
        <f t="shared" si="7"/>
        <v>0–20</v>
      </c>
    </row>
    <row r="87" spans="1:12" ht="15.6" x14ac:dyDescent="0.3">
      <c r="A87" s="5" t="s">
        <v>110</v>
      </c>
      <c r="B87" s="6">
        <v>19</v>
      </c>
      <c r="C87" s="5" t="s">
        <v>18</v>
      </c>
      <c r="D87" s="7">
        <v>5.0999999999999996</v>
      </c>
      <c r="E87" s="6">
        <v>70</v>
      </c>
      <c r="F87" s="5" t="s">
        <v>14</v>
      </c>
      <c r="G87" s="5" t="s">
        <v>33</v>
      </c>
      <c r="H87" s="5" t="s">
        <v>16</v>
      </c>
      <c r="I87" s="5">
        <f t="shared" si="4"/>
        <v>1.5544799999999999</v>
      </c>
      <c r="J87" s="10">
        <f t="shared" si="5"/>
        <v>29</v>
      </c>
      <c r="K87" s="9" t="str">
        <f t="shared" si="6"/>
        <v>Overweight</v>
      </c>
      <c r="L87" s="9" t="str">
        <f t="shared" si="7"/>
        <v>0–20</v>
      </c>
    </row>
    <row r="88" spans="1:12" ht="15.6" x14ac:dyDescent="0.3">
      <c r="A88" s="5" t="s">
        <v>111</v>
      </c>
      <c r="B88" s="6">
        <v>40</v>
      </c>
      <c r="C88" s="5" t="s">
        <v>18</v>
      </c>
      <c r="D88" s="7">
        <v>4.9000000000000004</v>
      </c>
      <c r="E88" s="6">
        <v>70</v>
      </c>
      <c r="F88" s="5" t="s">
        <v>14</v>
      </c>
      <c r="G88" s="5" t="s">
        <v>15</v>
      </c>
      <c r="H88" s="5" t="s">
        <v>22</v>
      </c>
      <c r="I88" s="5">
        <f t="shared" si="4"/>
        <v>1.4935200000000002</v>
      </c>
      <c r="J88" s="12">
        <f t="shared" si="5"/>
        <v>31.4</v>
      </c>
      <c r="K88" s="9" t="str">
        <f t="shared" si="6"/>
        <v>Obese</v>
      </c>
      <c r="L88" s="9" t="str">
        <f t="shared" si="7"/>
        <v>21–40</v>
      </c>
    </row>
    <row r="89" spans="1:12" ht="15.6" x14ac:dyDescent="0.3">
      <c r="A89" s="5" t="s">
        <v>112</v>
      </c>
      <c r="B89" s="6">
        <v>20</v>
      </c>
      <c r="C89" s="5" t="s">
        <v>18</v>
      </c>
      <c r="D89" s="7">
        <v>5</v>
      </c>
      <c r="E89" s="6">
        <v>48</v>
      </c>
      <c r="F89" s="5" t="s">
        <v>14</v>
      </c>
      <c r="G89" s="5" t="s">
        <v>15</v>
      </c>
      <c r="H89" s="5" t="s">
        <v>16</v>
      </c>
      <c r="I89" s="5">
        <f t="shared" si="4"/>
        <v>1.524</v>
      </c>
      <c r="J89" s="8">
        <f t="shared" si="5"/>
        <v>20.7</v>
      </c>
      <c r="K89" s="9" t="str">
        <f t="shared" si="6"/>
        <v>Normal</v>
      </c>
      <c r="L89" s="9" t="str">
        <f t="shared" si="7"/>
        <v>0–20</v>
      </c>
    </row>
    <row r="90" spans="1:12" ht="15.6" x14ac:dyDescent="0.3">
      <c r="A90" s="5" t="s">
        <v>113</v>
      </c>
      <c r="B90" s="6">
        <v>50</v>
      </c>
      <c r="C90" s="5" t="s">
        <v>13</v>
      </c>
      <c r="D90" s="6">
        <v>5</v>
      </c>
      <c r="E90" s="6">
        <v>56</v>
      </c>
      <c r="F90" s="5" t="s">
        <v>14</v>
      </c>
      <c r="G90" s="5" t="s">
        <v>15</v>
      </c>
      <c r="H90" s="5" t="s">
        <v>27</v>
      </c>
      <c r="I90" s="5">
        <f t="shared" si="4"/>
        <v>1.524</v>
      </c>
      <c r="J90" s="8">
        <f t="shared" si="5"/>
        <v>24.1</v>
      </c>
      <c r="K90" s="9" t="str">
        <f t="shared" si="6"/>
        <v>Normal</v>
      </c>
      <c r="L90" s="9" t="str">
        <f t="shared" si="7"/>
        <v>41–60</v>
      </c>
    </row>
    <row r="91" spans="1:12" ht="15.6" x14ac:dyDescent="0.3">
      <c r="A91" s="5" t="s">
        <v>114</v>
      </c>
      <c r="B91" s="6">
        <v>19</v>
      </c>
      <c r="C91" s="5" t="s">
        <v>18</v>
      </c>
      <c r="D91" s="6">
        <v>4.9000000000000004</v>
      </c>
      <c r="E91" s="6">
        <v>50</v>
      </c>
      <c r="F91" s="5" t="s">
        <v>14</v>
      </c>
      <c r="G91" s="5" t="s">
        <v>33</v>
      </c>
      <c r="H91" s="5" t="s">
        <v>27</v>
      </c>
      <c r="I91" s="5">
        <f t="shared" si="4"/>
        <v>1.4935200000000002</v>
      </c>
      <c r="J91" s="8">
        <f t="shared" si="5"/>
        <v>22.4</v>
      </c>
      <c r="K91" s="9" t="str">
        <f t="shared" si="6"/>
        <v>Normal</v>
      </c>
      <c r="L91" s="9" t="str">
        <f t="shared" si="7"/>
        <v>0–20</v>
      </c>
    </row>
    <row r="92" spans="1:12" ht="15.6" x14ac:dyDescent="0.3">
      <c r="A92" s="5" t="s">
        <v>115</v>
      </c>
      <c r="B92" s="6">
        <v>20</v>
      </c>
      <c r="C92" s="5" t="s">
        <v>13</v>
      </c>
      <c r="D92" s="7">
        <v>5.4</v>
      </c>
      <c r="E92" s="6">
        <v>60</v>
      </c>
      <c r="F92" s="5" t="s">
        <v>14</v>
      </c>
      <c r="G92" s="5" t="s">
        <v>15</v>
      </c>
      <c r="H92" s="5" t="s">
        <v>16</v>
      </c>
      <c r="I92" s="5">
        <f t="shared" si="4"/>
        <v>1.6459200000000003</v>
      </c>
      <c r="J92" s="8">
        <f t="shared" si="5"/>
        <v>22.1</v>
      </c>
      <c r="K92" s="9" t="str">
        <f t="shared" si="6"/>
        <v>Normal</v>
      </c>
      <c r="L92" s="9" t="str">
        <f t="shared" si="7"/>
        <v>0–20</v>
      </c>
    </row>
    <row r="93" spans="1:12" ht="15.6" x14ac:dyDescent="0.3">
      <c r="A93" s="5" t="s">
        <v>116</v>
      </c>
      <c r="B93" s="6">
        <v>20</v>
      </c>
      <c r="C93" s="5" t="s">
        <v>18</v>
      </c>
      <c r="D93" s="6">
        <v>5</v>
      </c>
      <c r="E93" s="6">
        <v>81</v>
      </c>
      <c r="F93" s="5" t="s">
        <v>14</v>
      </c>
      <c r="G93" s="5" t="s">
        <v>21</v>
      </c>
      <c r="H93" s="5" t="s">
        <v>16</v>
      </c>
      <c r="I93" s="5">
        <f t="shared" si="4"/>
        <v>1.524</v>
      </c>
      <c r="J93" s="12">
        <f t="shared" si="5"/>
        <v>34.9</v>
      </c>
      <c r="K93" s="9" t="str">
        <f t="shared" si="6"/>
        <v>Obese</v>
      </c>
      <c r="L93" s="9" t="str">
        <f t="shared" si="7"/>
        <v>0–20</v>
      </c>
    </row>
    <row r="94" spans="1:12" ht="15.6" x14ac:dyDescent="0.3">
      <c r="A94" s="5" t="s">
        <v>117</v>
      </c>
      <c r="B94" s="6">
        <v>20</v>
      </c>
      <c r="C94" s="5" t="s">
        <v>18</v>
      </c>
      <c r="D94" s="6">
        <v>4.5</v>
      </c>
      <c r="E94" s="6">
        <v>58</v>
      </c>
      <c r="F94" s="5" t="s">
        <v>14</v>
      </c>
      <c r="G94" s="5" t="s">
        <v>15</v>
      </c>
      <c r="H94" s="5" t="s">
        <v>27</v>
      </c>
      <c r="I94" s="5">
        <f t="shared" si="4"/>
        <v>1.3716000000000002</v>
      </c>
      <c r="J94" s="12">
        <f t="shared" si="5"/>
        <v>30.8</v>
      </c>
      <c r="K94" s="9" t="str">
        <f t="shared" si="6"/>
        <v>Obese</v>
      </c>
      <c r="L94" s="9" t="str">
        <f t="shared" si="7"/>
        <v>0–20</v>
      </c>
    </row>
    <row r="95" spans="1:12" ht="15.6" x14ac:dyDescent="0.3">
      <c r="A95" s="5" t="s">
        <v>118</v>
      </c>
      <c r="B95" s="6">
        <v>19</v>
      </c>
      <c r="C95" s="5" t="s">
        <v>18</v>
      </c>
      <c r="D95" s="6">
        <v>5.7</v>
      </c>
      <c r="E95" s="6">
        <v>57</v>
      </c>
      <c r="F95" s="5" t="s">
        <v>31</v>
      </c>
      <c r="G95" s="5" t="s">
        <v>15</v>
      </c>
      <c r="H95" s="5" t="s">
        <v>27</v>
      </c>
      <c r="I95" s="5">
        <f t="shared" si="4"/>
        <v>1.7373600000000002</v>
      </c>
      <c r="J95" s="8">
        <f t="shared" si="5"/>
        <v>18.899999999999999</v>
      </c>
      <c r="K95" s="9" t="str">
        <f t="shared" si="6"/>
        <v>Normal</v>
      </c>
      <c r="L95" s="9" t="str">
        <f t="shared" si="7"/>
        <v>0–20</v>
      </c>
    </row>
    <row r="96" spans="1:12" ht="15.6" x14ac:dyDescent="0.3">
      <c r="A96" s="5" t="s">
        <v>119</v>
      </c>
      <c r="B96" s="6">
        <v>20</v>
      </c>
      <c r="C96" s="5" t="s">
        <v>18</v>
      </c>
      <c r="D96" s="7">
        <v>5.8</v>
      </c>
      <c r="E96" s="6">
        <v>75</v>
      </c>
      <c r="F96" s="5" t="s">
        <v>14</v>
      </c>
      <c r="G96" s="5" t="s">
        <v>21</v>
      </c>
      <c r="H96" s="5" t="s">
        <v>16</v>
      </c>
      <c r="I96" s="5">
        <f t="shared" si="4"/>
        <v>1.7678400000000001</v>
      </c>
      <c r="J96" s="8">
        <f t="shared" si="5"/>
        <v>24</v>
      </c>
      <c r="K96" s="9" t="str">
        <f t="shared" si="6"/>
        <v>Normal</v>
      </c>
      <c r="L96" s="9" t="str">
        <f t="shared" si="7"/>
        <v>0–20</v>
      </c>
    </row>
    <row r="97" spans="1:12" ht="15.6" x14ac:dyDescent="0.3">
      <c r="A97" s="5" t="s">
        <v>120</v>
      </c>
      <c r="B97" s="6">
        <v>20</v>
      </c>
      <c r="C97" s="5" t="s">
        <v>18</v>
      </c>
      <c r="D97" s="7">
        <v>5.3</v>
      </c>
      <c r="E97" s="6">
        <v>43</v>
      </c>
      <c r="F97" s="5" t="s">
        <v>14</v>
      </c>
      <c r="G97" s="5" t="s">
        <v>21</v>
      </c>
      <c r="H97" s="5" t="s">
        <v>16</v>
      </c>
      <c r="I97" s="5">
        <f t="shared" si="4"/>
        <v>1.61544</v>
      </c>
      <c r="J97" s="8">
        <f t="shared" si="5"/>
        <v>16.5</v>
      </c>
      <c r="K97" s="9" t="str">
        <f t="shared" si="6"/>
        <v>Underweight</v>
      </c>
      <c r="L97" s="9" t="str">
        <f t="shared" si="7"/>
        <v>0–20</v>
      </c>
    </row>
    <row r="98" spans="1:12" ht="15.6" x14ac:dyDescent="0.3">
      <c r="A98" s="5" t="s">
        <v>121</v>
      </c>
      <c r="B98" s="6">
        <v>19</v>
      </c>
      <c r="C98" s="5" t="s">
        <v>18</v>
      </c>
      <c r="D98" s="6">
        <v>5</v>
      </c>
      <c r="E98" s="6">
        <v>48</v>
      </c>
      <c r="F98" s="5" t="s">
        <v>14</v>
      </c>
      <c r="G98" s="5" t="s">
        <v>21</v>
      </c>
      <c r="H98" s="5" t="s">
        <v>16</v>
      </c>
      <c r="I98" s="5">
        <f t="shared" si="4"/>
        <v>1.524</v>
      </c>
      <c r="J98" s="8">
        <f t="shared" si="5"/>
        <v>20.7</v>
      </c>
      <c r="K98" s="9" t="str">
        <f t="shared" si="6"/>
        <v>Normal</v>
      </c>
      <c r="L98" s="9" t="str">
        <f t="shared" si="7"/>
        <v>0–20</v>
      </c>
    </row>
    <row r="99" spans="1:12" ht="15.6" x14ac:dyDescent="0.3">
      <c r="A99" s="5" t="s">
        <v>122</v>
      </c>
      <c r="B99" s="6">
        <v>20</v>
      </c>
      <c r="C99" s="5" t="s">
        <v>18</v>
      </c>
      <c r="D99" s="7">
        <v>5.4</v>
      </c>
      <c r="E99" s="6">
        <v>52</v>
      </c>
      <c r="F99" s="5" t="s">
        <v>31</v>
      </c>
      <c r="G99" s="5" t="s">
        <v>15</v>
      </c>
      <c r="H99" s="5" t="s">
        <v>27</v>
      </c>
      <c r="I99" s="5">
        <f t="shared" si="4"/>
        <v>1.6459200000000003</v>
      </c>
      <c r="J99" s="8">
        <f t="shared" si="5"/>
        <v>19.2</v>
      </c>
      <c r="K99" s="9" t="str">
        <f t="shared" si="6"/>
        <v>Normal</v>
      </c>
      <c r="L99" s="9" t="str">
        <f t="shared" si="7"/>
        <v>0–20</v>
      </c>
    </row>
    <row r="100" spans="1:12" ht="15.6" x14ac:dyDescent="0.3">
      <c r="A100" s="5" t="s">
        <v>123</v>
      </c>
      <c r="B100" s="6">
        <v>20</v>
      </c>
      <c r="C100" s="5" t="s">
        <v>18</v>
      </c>
      <c r="D100" s="7">
        <v>5</v>
      </c>
      <c r="E100" s="6">
        <v>62</v>
      </c>
      <c r="F100" s="5" t="s">
        <v>20</v>
      </c>
      <c r="G100" s="5" t="s">
        <v>21</v>
      </c>
      <c r="H100" s="5" t="s">
        <v>16</v>
      </c>
      <c r="I100" s="5">
        <f t="shared" si="4"/>
        <v>1.524</v>
      </c>
      <c r="J100" s="10">
        <f t="shared" si="5"/>
        <v>26.7</v>
      </c>
      <c r="K100" s="9" t="str">
        <f t="shared" si="6"/>
        <v>Overweight</v>
      </c>
      <c r="L100" s="9" t="str">
        <f t="shared" si="7"/>
        <v>0–20</v>
      </c>
    </row>
    <row r="101" spans="1:12" ht="15.6" x14ac:dyDescent="0.3">
      <c r="A101" s="5" t="s">
        <v>124</v>
      </c>
      <c r="B101" s="6">
        <v>21</v>
      </c>
      <c r="C101" s="5" t="s">
        <v>13</v>
      </c>
      <c r="D101" s="6">
        <v>5.8</v>
      </c>
      <c r="E101" s="6">
        <v>73</v>
      </c>
      <c r="F101" s="5" t="s">
        <v>14</v>
      </c>
      <c r="G101" s="5" t="s">
        <v>43</v>
      </c>
      <c r="H101" s="5" t="s">
        <v>27</v>
      </c>
      <c r="I101" s="5">
        <f t="shared" si="4"/>
        <v>1.7678400000000001</v>
      </c>
      <c r="J101" s="8">
        <f t="shared" si="5"/>
        <v>23.4</v>
      </c>
      <c r="K101" s="9" t="str">
        <f t="shared" si="6"/>
        <v>Normal</v>
      </c>
      <c r="L101" s="9" t="str">
        <f t="shared" si="7"/>
        <v>21–40</v>
      </c>
    </row>
    <row r="102" spans="1:12" ht="15.6" x14ac:dyDescent="0.3">
      <c r="A102" s="5" t="s">
        <v>125</v>
      </c>
      <c r="B102" s="6">
        <v>23</v>
      </c>
      <c r="C102" s="5" t="s">
        <v>13</v>
      </c>
      <c r="D102" s="7">
        <v>5.9</v>
      </c>
      <c r="E102" s="6">
        <v>60</v>
      </c>
      <c r="F102" s="5" t="s">
        <v>20</v>
      </c>
      <c r="G102" s="5" t="s">
        <v>15</v>
      </c>
      <c r="H102" s="5" t="s">
        <v>27</v>
      </c>
      <c r="I102" s="5">
        <f t="shared" si="4"/>
        <v>1.7983200000000001</v>
      </c>
      <c r="J102" s="8">
        <f t="shared" si="5"/>
        <v>18.600000000000001</v>
      </c>
      <c r="K102" s="9" t="str">
        <f t="shared" si="6"/>
        <v>Normal</v>
      </c>
      <c r="L102" s="9" t="str">
        <f t="shared" si="7"/>
        <v>21–40</v>
      </c>
    </row>
    <row r="103" spans="1:12" ht="15.6" x14ac:dyDescent="0.3">
      <c r="A103" s="5" t="s">
        <v>126</v>
      </c>
      <c r="B103" s="6">
        <v>19</v>
      </c>
      <c r="C103" s="5" t="s">
        <v>18</v>
      </c>
      <c r="D103" s="7">
        <v>5.2</v>
      </c>
      <c r="E103" s="6">
        <v>50</v>
      </c>
      <c r="F103" s="5" t="s">
        <v>31</v>
      </c>
      <c r="G103" s="5" t="s">
        <v>15</v>
      </c>
      <c r="H103" s="5" t="s">
        <v>16</v>
      </c>
      <c r="I103" s="5">
        <f t="shared" si="4"/>
        <v>1.5849600000000001</v>
      </c>
      <c r="J103" s="8">
        <f t="shared" si="5"/>
        <v>19.899999999999999</v>
      </c>
      <c r="K103" s="9" t="str">
        <f t="shared" si="6"/>
        <v>Normal</v>
      </c>
      <c r="L103" s="9" t="str">
        <f t="shared" si="7"/>
        <v>0–20</v>
      </c>
    </row>
    <row r="104" spans="1:12" ht="15.6" x14ac:dyDescent="0.3">
      <c r="A104" s="5" t="s">
        <v>127</v>
      </c>
      <c r="B104" s="6">
        <v>24</v>
      </c>
      <c r="C104" s="5" t="s">
        <v>13</v>
      </c>
      <c r="D104" s="7">
        <v>5.6</v>
      </c>
      <c r="E104" s="6">
        <v>68</v>
      </c>
      <c r="F104" s="5" t="s">
        <v>20</v>
      </c>
      <c r="G104" s="5" t="s">
        <v>33</v>
      </c>
      <c r="H104" s="5" t="s">
        <v>27</v>
      </c>
      <c r="I104" s="5">
        <f t="shared" si="4"/>
        <v>1.70688</v>
      </c>
      <c r="J104" s="8">
        <f t="shared" si="5"/>
        <v>23.3</v>
      </c>
      <c r="K104" s="9" t="str">
        <f t="shared" si="6"/>
        <v>Normal</v>
      </c>
      <c r="L104" s="9" t="str">
        <f t="shared" si="7"/>
        <v>21–40</v>
      </c>
    </row>
    <row r="105" spans="1:12" ht="15.6" x14ac:dyDescent="0.3">
      <c r="A105" s="5" t="s">
        <v>128</v>
      </c>
      <c r="B105" s="6">
        <v>47</v>
      </c>
      <c r="C105" s="5" t="s">
        <v>18</v>
      </c>
      <c r="D105" s="7">
        <v>5.6</v>
      </c>
      <c r="E105" s="6">
        <v>70</v>
      </c>
      <c r="F105" s="5" t="s">
        <v>31</v>
      </c>
      <c r="G105" s="5" t="s">
        <v>15</v>
      </c>
      <c r="H105" s="5" t="s">
        <v>22</v>
      </c>
      <c r="I105" s="5">
        <f t="shared" si="4"/>
        <v>1.70688</v>
      </c>
      <c r="J105" s="8">
        <f t="shared" si="5"/>
        <v>24</v>
      </c>
      <c r="K105" s="9" t="str">
        <f t="shared" si="6"/>
        <v>Normal</v>
      </c>
      <c r="L105" s="9" t="str">
        <f t="shared" si="7"/>
        <v>41–60</v>
      </c>
    </row>
    <row r="106" spans="1:12" ht="15.6" x14ac:dyDescent="0.3">
      <c r="A106" s="5" t="s">
        <v>129</v>
      </c>
      <c r="B106" s="6">
        <v>18</v>
      </c>
      <c r="C106" s="5" t="s">
        <v>18</v>
      </c>
      <c r="D106" s="7">
        <v>5</v>
      </c>
      <c r="E106" s="6">
        <v>65</v>
      </c>
      <c r="F106" s="5" t="s">
        <v>20</v>
      </c>
      <c r="G106" s="5" t="s">
        <v>33</v>
      </c>
      <c r="H106" s="5" t="s">
        <v>27</v>
      </c>
      <c r="I106" s="5">
        <f t="shared" si="4"/>
        <v>1.524</v>
      </c>
      <c r="J106" s="10">
        <f t="shared" si="5"/>
        <v>28</v>
      </c>
      <c r="K106" s="9" t="str">
        <f t="shared" si="6"/>
        <v>Overweight</v>
      </c>
      <c r="L106" s="9" t="str">
        <f t="shared" si="7"/>
        <v>0–20</v>
      </c>
    </row>
    <row r="107" spans="1:12" ht="15.6" x14ac:dyDescent="0.3">
      <c r="A107" s="5" t="s">
        <v>130</v>
      </c>
      <c r="B107" s="6">
        <v>19</v>
      </c>
      <c r="C107" s="5" t="s">
        <v>13</v>
      </c>
      <c r="D107" s="6">
        <v>6</v>
      </c>
      <c r="E107" s="6">
        <v>75</v>
      </c>
      <c r="F107" s="5" t="s">
        <v>14</v>
      </c>
      <c r="G107" s="5" t="s">
        <v>33</v>
      </c>
      <c r="H107" s="5" t="s">
        <v>27</v>
      </c>
      <c r="I107" s="5">
        <f t="shared" si="4"/>
        <v>1.8288000000000002</v>
      </c>
      <c r="J107" s="8">
        <f t="shared" si="5"/>
        <v>22.4</v>
      </c>
      <c r="K107" s="9" t="str">
        <f t="shared" si="6"/>
        <v>Normal</v>
      </c>
      <c r="L107" s="9" t="str">
        <f t="shared" si="7"/>
        <v>0–20</v>
      </c>
    </row>
    <row r="108" spans="1:12" ht="15.6" x14ac:dyDescent="0.3">
      <c r="A108" s="5" t="s">
        <v>131</v>
      </c>
      <c r="B108" s="6">
        <v>23</v>
      </c>
      <c r="C108" s="5" t="s">
        <v>13</v>
      </c>
      <c r="D108" s="7">
        <v>5.9</v>
      </c>
      <c r="E108" s="6">
        <v>60</v>
      </c>
      <c r="F108" s="5" t="s">
        <v>20</v>
      </c>
      <c r="G108" s="5" t="s">
        <v>15</v>
      </c>
      <c r="H108" s="5" t="s">
        <v>27</v>
      </c>
      <c r="I108" s="5">
        <f t="shared" si="4"/>
        <v>1.7983200000000001</v>
      </c>
      <c r="J108" s="8">
        <f t="shared" si="5"/>
        <v>18.600000000000001</v>
      </c>
      <c r="K108" s="9" t="str">
        <f t="shared" si="6"/>
        <v>Normal</v>
      </c>
      <c r="L108" s="9" t="str">
        <f t="shared" si="7"/>
        <v>21–40</v>
      </c>
    </row>
  </sheetData>
  <conditionalFormatting sqref="A1:A10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 A U</dc:creator>
  <cp:lastModifiedBy>Mamatha A U</cp:lastModifiedBy>
  <dcterms:created xsi:type="dcterms:W3CDTF">2025-10-07T12:37:24Z</dcterms:created>
  <dcterms:modified xsi:type="dcterms:W3CDTF">2026-01-05T13:21:38Z</dcterms:modified>
</cp:coreProperties>
</file>